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esicrew\flask\Dmax\static\files\"/>
    </mc:Choice>
  </mc:AlternateContent>
  <xr:revisionPtr revIDLastSave="0" documentId="13_ncr:1_{DD40F509-3C0E-45CA-B457-4879668310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5" i="1" l="1" a="1"/>
  <c r="BR5" i="1" s="1"/>
  <c r="BQ5" i="1" a="1"/>
  <c r="BQ5" i="1" s="1"/>
  <c r="BP5" i="1" a="1"/>
  <c r="BP5" i="1" s="1"/>
  <c r="BM5" i="1"/>
  <c r="BL5" i="1"/>
  <c r="BR4" i="1" a="1"/>
  <c r="BR4" i="1" s="1"/>
  <c r="BQ4" i="1" a="1"/>
  <c r="BQ4" i="1" s="1"/>
  <c r="BP4" i="1" a="1"/>
  <c r="BP4" i="1" s="1"/>
  <c r="BM4" i="1"/>
  <c r="BL4" i="1"/>
  <c r="BN5" i="1" l="1" a="1"/>
  <c r="BN5" i="1" s="1"/>
  <c r="BO5" i="1" a="1"/>
  <c r="BO5" i="1" s="1"/>
  <c r="BS5" i="1" s="1"/>
  <c r="BO4" i="1" a="1"/>
  <c r="BO4" i="1" s="1"/>
  <c r="BN4" i="1" a="1"/>
  <c r="BN4" i="1" s="1"/>
  <c r="BS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<sst xmlns="http://schemas.openxmlformats.org/spreadsheetml/2006/main" count="100" uniqueCount="93">
  <si>
    <t>Basic Information</t>
  </si>
  <si>
    <t>Production Parameters</t>
  </si>
  <si>
    <t>Bench Training</t>
  </si>
  <si>
    <t>Quality Parameters</t>
  </si>
  <si>
    <t>Employee Name</t>
  </si>
  <si>
    <t>Employee ID</t>
  </si>
  <si>
    <t>Employee Email</t>
  </si>
  <si>
    <t>Today's Date</t>
  </si>
  <si>
    <t>Select your Project</t>
  </si>
  <si>
    <t>Designation</t>
  </si>
  <si>
    <t>Defects Found Target</t>
  </si>
  <si>
    <t>Defects Found Actual</t>
  </si>
  <si>
    <t>Issue Verification Target</t>
  </si>
  <si>
    <t>Issue Verification Actual</t>
  </si>
  <si>
    <t>Project Documentation - Target</t>
  </si>
  <si>
    <t>Project Documentation - Actual</t>
  </si>
  <si>
    <t>Internal Review - Target</t>
  </si>
  <si>
    <t>Internal Review - Actual</t>
  </si>
  <si>
    <t>Regression Cycle - Target</t>
  </si>
  <si>
    <t>Regression Cycle - Actual</t>
  </si>
  <si>
    <t>Requirement analyzing/writing testcondition - Target</t>
  </si>
  <si>
    <t>Requirement analyzing/writing testcondition - Actual</t>
  </si>
  <si>
    <t>End-End test cases executed - Target</t>
  </si>
  <si>
    <t>End-End test cases executed - Actual</t>
  </si>
  <si>
    <t>Site Scrub - Target</t>
  </si>
  <si>
    <t>Site Scrub - Actual</t>
  </si>
  <si>
    <t>Task Achivement/Coverage score - Target</t>
  </si>
  <si>
    <t>Task Achivement/Coverage score -  Actual</t>
  </si>
  <si>
    <t>Assessment Test score - Target</t>
  </si>
  <si>
    <t>Assessment Test score - Actual</t>
  </si>
  <si>
    <t>Assessment Retest score - Target</t>
  </si>
  <si>
    <t>Assessment Retest score - Actual</t>
  </si>
  <si>
    <t>Certification Test score - Target</t>
  </si>
  <si>
    <t>Certification Test score - Actual</t>
  </si>
  <si>
    <t>Certification Retest score - Target</t>
  </si>
  <si>
    <t>Certification Retest score - Actual</t>
  </si>
  <si>
    <t>New Features Implemented
Target</t>
  </si>
  <si>
    <t>New Features Implemented
Actual</t>
  </si>
  <si>
    <t>Defects Fixed
Target</t>
  </si>
  <si>
    <t>Defects Fixed
Actual</t>
  </si>
  <si>
    <t>Enhancements
Target</t>
  </si>
  <si>
    <t>Enhancements
Actual</t>
  </si>
  <si>
    <t>Figma Designs Created
Target</t>
  </si>
  <si>
    <t>Figma Designs Created
Actual</t>
  </si>
  <si>
    <t>Project Documentation Update
Target</t>
  </si>
  <si>
    <t>Project Documentation Update
Actual</t>
  </si>
  <si>
    <t>Research
Target</t>
  </si>
  <si>
    <t>Research
Actual</t>
  </si>
  <si>
    <t>No. of Invalid defects</t>
  </si>
  <si>
    <t>Spelling/Typo errors</t>
  </si>
  <si>
    <t>Client escalations</t>
  </si>
  <si>
    <t>No. of Test cases missing</t>
  </si>
  <si>
    <t>Website Development</t>
  </si>
  <si>
    <t>Attendance</t>
  </si>
  <si>
    <t>DTOUCH/Soft Skill</t>
  </si>
  <si>
    <t>New initiatives</t>
  </si>
  <si>
    <t>Target</t>
  </si>
  <si>
    <t>Actual</t>
  </si>
  <si>
    <t>Production %</t>
  </si>
  <si>
    <t>Attendance %</t>
  </si>
  <si>
    <t>Skill%</t>
  </si>
  <si>
    <t>New initiatives%</t>
  </si>
  <si>
    <t>Dmax Score</t>
  </si>
  <si>
    <t>Operational Excellence</t>
  </si>
  <si>
    <t xml:space="preserve">Quality% </t>
  </si>
  <si>
    <t>Personwise Final Score</t>
  </si>
  <si>
    <t>Test Cases</t>
  </si>
  <si>
    <t>Defects</t>
  </si>
  <si>
    <t>TestScripts</t>
  </si>
  <si>
    <t>Others</t>
  </si>
  <si>
    <t xml:space="preserve"> Creation Target</t>
  </si>
  <si>
    <t>Creation Actual</t>
  </si>
  <si>
    <t>Updation Target</t>
  </si>
  <si>
    <t>Updation Actual</t>
  </si>
  <si>
    <t>Execution Target</t>
  </si>
  <si>
    <t xml:space="preserve"> Execution Actual</t>
  </si>
  <si>
    <t>Creation - Target</t>
  </si>
  <si>
    <t>Creation - Actual</t>
  </si>
  <si>
    <t>Updation - Target</t>
  </si>
  <si>
    <t>Updation - Actual</t>
  </si>
  <si>
    <t>Execution - Target</t>
  </si>
  <si>
    <t>Execution - Actual</t>
  </si>
  <si>
    <t>Emploee Names</t>
  </si>
  <si>
    <t>Final DMAX Score</t>
  </si>
  <si>
    <t>No.of Entries</t>
  </si>
  <si>
    <t>0 (Leave)</t>
  </si>
  <si>
    <t>1 (Present)</t>
  </si>
  <si>
    <t>Blank</t>
  </si>
  <si>
    <t>Sathya S</t>
  </si>
  <si>
    <t>sathya@qaoncloud.com</t>
  </si>
  <si>
    <t>LevelBlue</t>
  </si>
  <si>
    <t>SrQAEngineer</t>
  </si>
  <si>
    <t>DC1531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</si>
</sst>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"/>
  </numFmts>
  <fonts count="17">
    <font>
      <sz val="10"/>
      <color rgb="FF000000"/>
      <name val="Arial"/>
      <scheme val="minor"/>
    </font>
    <font>
      <b/>
      <sz val="15"/>
      <color theme="1"/>
      <name val="Calibri"/>
    </font>
    <font>
      <b/>
      <sz val="15"/>
      <color rgb="FFFFFFFF"/>
      <name val="Calibri"/>
    </font>
    <font>
      <b/>
      <sz val="15"/>
      <color rgb="FF000000"/>
      <name val="Calibri"/>
    </font>
    <font>
      <b/>
      <sz val="11"/>
      <color theme="1"/>
      <name val="Calibri"/>
    </font>
    <font>
      <b/>
      <sz val="18"/>
      <color rgb="FFFFFFFF"/>
      <name val="Calibri"/>
    </font>
    <font>
      <b/>
      <sz val="11"/>
      <color theme="1"/>
      <name val="Arial"/>
    </font>
    <font>
      <b/>
      <sz val="14"/>
      <color theme="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000000"/>
      <name val="Calibri"/>
    </font>
    <font>
      <sz val="9"/>
      <color rgb="FF000000"/>
      <name val="Calibri"/>
    </font>
    <font>
      <sz val="10"/>
      <color theme="1"/>
      <name val="Arial"/>
      <scheme val="minor"/>
    </font>
    <font>
      <sz val="9"/>
      <color theme="1"/>
      <name val="Calibri"/>
    </font>
    <font>
      <u/>
      <sz val="10"/>
      <color theme="10"/>
      <name val="Arial"/>
      <scheme val="minor"/>
    </font>
    <font>
      <sz val="10"/>
      <color rgb="FF000000"/>
      <name val="Calibri"/>
      <charset val="134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8">
    <xf numFmtId="0" fontId="0" fillId="0" borderId="0" xfId="0"/>
    <xf numFmtId="0" fontId="6" fillId="2" borderId="0" xfId="0" applyFont="1" applyFill="1"/>
    <xf numFmtId="0" fontId="7" fillId="3" borderId="3" xfId="0" applyFont="1" applyFill="1" applyBorder="1" applyAlignment="1">
      <alignment horizontal="center" wrapText="1"/>
    </xf>
    <xf numFmtId="0" fontId="8" fillId="9" borderId="4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 wrapText="1"/>
    </xf>
    <xf numFmtId="0" fontId="8" fillId="9" borderId="6" xfId="0" applyFont="1" applyFill="1" applyBorder="1"/>
    <xf numFmtId="0" fontId="4" fillId="2" borderId="3" xfId="0" applyFont="1" applyFill="1" applyBorder="1" applyAlignment="1">
      <alignment horizontal="center" wrapText="1"/>
    </xf>
    <xf numFmtId="164" fontId="4" fillId="2" borderId="3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wrapText="1"/>
    </xf>
    <xf numFmtId="0" fontId="8" fillId="4" borderId="3" xfId="0" applyFont="1" applyFill="1" applyBorder="1" applyAlignment="1">
      <alignment wrapText="1"/>
    </xf>
    <xf numFmtId="0" fontId="10" fillId="8" borderId="3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4" fillId="6" borderId="3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wrapText="1"/>
    </xf>
    <xf numFmtId="1" fontId="4" fillId="7" borderId="3" xfId="0" applyNumberFormat="1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10" fontId="11" fillId="7" borderId="3" xfId="0" applyNumberFormat="1" applyFont="1" applyFill="1" applyBorder="1" applyAlignment="1">
      <alignment horizontal="center"/>
    </xf>
    <xf numFmtId="0" fontId="8" fillId="9" borderId="3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/>
    <xf numFmtId="165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1" fontId="13" fillId="7" borderId="3" xfId="0" applyNumberFormat="1" applyFont="1" applyFill="1" applyBorder="1" applyAlignment="1">
      <alignment horizontal="center"/>
    </xf>
    <xf numFmtId="0" fontId="12" fillId="10" borderId="0" xfId="0" applyFont="1" applyFill="1" applyAlignment="1">
      <alignment horizontal="left"/>
    </xf>
    <xf numFmtId="0" fontId="12" fillId="10" borderId="0" xfId="0" applyFont="1" applyFill="1"/>
    <xf numFmtId="165" fontId="12" fillId="10" borderId="0" xfId="0" applyNumberFormat="1" applyFont="1" applyFill="1" applyAlignment="1">
      <alignment horizontal="right"/>
    </xf>
    <xf numFmtId="0" fontId="12" fillId="10" borderId="0" xfId="0" applyFont="1" applyFill="1" applyAlignment="1">
      <alignment horizontal="center"/>
    </xf>
    <xf numFmtId="1" fontId="13" fillId="7" borderId="0" xfId="0" applyNumberFormat="1" applyFont="1" applyFill="1" applyAlignment="1">
      <alignment horizontal="center"/>
    </xf>
    <xf numFmtId="10" fontId="11" fillId="7" borderId="0" xfId="0" applyNumberFormat="1" applyFont="1" applyFill="1" applyAlignment="1">
      <alignment horizontal="center"/>
    </xf>
    <xf numFmtId="0" fontId="15" fillId="10" borderId="13" xfId="0" applyFont="1" applyFill="1" applyBorder="1" applyAlignment="1">
      <alignment horizontal="center"/>
    </xf>
    <xf numFmtId="14" fontId="15" fillId="10" borderId="0" xfId="0" applyNumberFormat="1" applyFont="1" applyFill="1" applyAlignment="1">
      <alignment horizontal="center"/>
    </xf>
    <xf numFmtId="0" fontId="14" fillId="0" borderId="0" xfId="1"/>
    <xf numFmtId="0" fontId="5" fillId="9" borderId="7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9" fillId="9" borderId="7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10" fontId="4" fillId="7" borderId="8" xfId="0" applyNumberFormat="1" applyFont="1" applyFill="1" applyBorder="1" applyAlignment="1">
      <alignment horizontal="center"/>
    </xf>
    <xf numFmtId="10" fontId="4" fillId="7" borderId="12" xfId="0" applyNumberFormat="1" applyFont="1" applyFill="1" applyBorder="1" applyAlignment="1">
      <alignment horizontal="center"/>
    </xf>
    <xf numFmtId="10" fontId="4" fillId="7" borderId="8" xfId="0" applyNumberFormat="1" applyFont="1" applyFill="1" applyBorder="1" applyAlignment="1">
      <alignment horizontal="center" wrapText="1"/>
    </xf>
    <xf numFmtId="10" fontId="4" fillId="7" borderId="12" xfId="0" applyNumberFormat="1" applyFont="1" applyFill="1" applyBorder="1" applyAlignment="1">
      <alignment horizontal="center" wrapText="1"/>
    </xf>
    <xf numFmtId="10" fontId="1" fillId="7" borderId="8" xfId="0" applyNumberFormat="1" applyFont="1" applyFill="1" applyBorder="1" applyAlignment="1">
      <alignment horizontal="center"/>
    </xf>
    <xf numFmtId="10" fontId="1" fillId="7" borderId="12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horizontal="center" wrapText="1"/>
    </xf>
    <xf numFmtId="0" fontId="3" fillId="8" borderId="5" xfId="0" applyFont="1" applyFill="1" applyBorder="1" applyAlignment="1">
      <alignment horizontal="center" wrapText="1"/>
    </xf>
    <xf numFmtId="0" fontId="3" fillId="8" borderId="6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wrapText="1"/>
    </xf>
    <xf numFmtId="0" fontId="3" fillId="8" borderId="10" xfId="0" applyFont="1" applyFill="1" applyBorder="1" applyAlignment="1">
      <alignment horizontal="center" wrapText="1"/>
    </xf>
    <xf numFmtId="0" fontId="3" fillId="8" borderId="11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1" fillId="5" borderId="11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left" wrapText="1"/>
    </xf>
    <xf numFmtId="0" fontId="1" fillId="6" borderId="5" xfId="0" applyFont="1" applyFill="1" applyBorder="1" applyAlignment="1">
      <alignment horizontal="left" wrapText="1"/>
    </xf>
    <xf numFmtId="0" fontId="1" fillId="6" borderId="6" xfId="0" applyFont="1" applyFill="1" applyBorder="1" applyAlignment="1">
      <alignment horizontal="left" wrapText="1"/>
    </xf>
    <xf numFmtId="0" fontId="1" fillId="6" borderId="9" xfId="0" applyFont="1" applyFill="1" applyBorder="1" applyAlignment="1">
      <alignment horizontal="left" wrapText="1"/>
    </xf>
    <xf numFmtId="0" fontId="1" fillId="6" borderId="10" xfId="0" applyFont="1" applyFill="1" applyBorder="1" applyAlignment="1">
      <alignment horizontal="left" wrapText="1"/>
    </xf>
    <xf numFmtId="0" fontId="1" fillId="6" borderId="11" xfId="0" applyFont="1" applyFill="1" applyBorder="1" applyAlignment="1">
      <alignment horizontal="left" wrapText="1"/>
    </xf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B363"/>
  <sheetViews>
    <sheetView tabSelected="1" workbookViewId="0">
      <selection activeCell="G11" sqref="G11"/>
    </sheetView>
  </sheetViews>
  <sheetFormatPr defaultColWidth="12.6640625" defaultRowHeight="15.75" customHeight="1"/>
  <cols>
    <col min="1" max="1" width="13.77734375" customWidth="1"/>
    <col min="2" max="2" width="10.21875" customWidth="1"/>
    <col min="3" max="3" width="18.6640625" customWidth="1"/>
    <col min="4" max="4" width="13.109375" customWidth="1"/>
    <col min="5" max="5" width="10.77734375" customWidth="1"/>
    <col min="6" max="6" width="11.6640625" customWidth="1"/>
    <col min="7" max="7" width="9.44140625" customWidth="1"/>
    <col min="8" max="8" width="9.109375" customWidth="1"/>
    <col min="9" max="9" width="8.21875" customWidth="1"/>
    <col min="10" max="10" width="8.33203125" customWidth="1"/>
    <col min="11" max="11" width="8.77734375" customWidth="1"/>
    <col min="12" max="12" width="9.44140625" customWidth="1"/>
    <col min="13" max="13" width="8.109375" customWidth="1"/>
    <col min="14" max="14" width="8.77734375" customWidth="1"/>
    <col min="15" max="16" width="10.21875" customWidth="1"/>
    <col min="17" max="17" width="10" customWidth="1"/>
    <col min="18" max="18" width="9.6640625" customWidth="1"/>
    <col min="19" max="19" width="10.109375" customWidth="1"/>
    <col min="20" max="20" width="9.33203125" customWidth="1"/>
    <col min="21" max="21" width="11.33203125" customWidth="1"/>
    <col min="25" max="25" width="8" customWidth="1"/>
    <col min="26" max="26" width="7.77734375" customWidth="1"/>
    <col min="29" max="29" width="15.21875" customWidth="1"/>
    <col min="30" max="30" width="15.33203125" customWidth="1"/>
    <col min="57" max="57" width="11.6640625" customWidth="1"/>
    <col min="59" max="59" width="10.33203125" customWidth="1"/>
    <col min="60" max="60" width="9.77734375" customWidth="1"/>
    <col min="61" max="61" width="9.88671875" customWidth="1"/>
    <col min="62" max="62" width="9.77734375" customWidth="1"/>
    <col min="63" max="63" width="9.88671875" customWidth="1"/>
    <col min="64" max="64" width="7.88671875" customWidth="1"/>
    <col min="65" max="65" width="9.109375" customWidth="1"/>
    <col min="66" max="66" width="11.21875" customWidth="1"/>
    <col min="67" max="67" width="16.21875" customWidth="1"/>
    <col min="68" max="68" width="11.44140625" customWidth="1"/>
    <col min="69" max="69" width="6.33203125" customWidth="1"/>
    <col min="70" max="70" width="10.109375" customWidth="1"/>
    <col min="71" max="71" width="13.77734375" customWidth="1"/>
    <col min="72" max="72" width="19.88671875" customWidth="1"/>
    <col min="73" max="73" width="15.109375" customWidth="1"/>
    <col min="74" max="74" width="15" customWidth="1"/>
    <col min="75" max="75" width="12.44140625" customWidth="1"/>
    <col min="76" max="76" width="9.88671875" customWidth="1"/>
    <col min="77" max="77" width="8.109375" customWidth="1"/>
  </cols>
  <sheetData>
    <row r="1" spans="1:80" ht="23.4" customHeight="1">
      <c r="A1" s="57" t="s">
        <v>0</v>
      </c>
      <c r="B1" s="58"/>
      <c r="C1" s="58"/>
      <c r="D1" s="58"/>
      <c r="E1" s="58"/>
      <c r="F1" s="59"/>
      <c r="G1" s="48" t="s">
        <v>1</v>
      </c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50"/>
      <c r="AI1" s="63" t="s">
        <v>2</v>
      </c>
      <c r="AJ1" s="64"/>
      <c r="AK1" s="64"/>
      <c r="AL1" s="64"/>
      <c r="AM1" s="64"/>
      <c r="AN1" s="64"/>
      <c r="AO1" s="64"/>
      <c r="AP1" s="64"/>
      <c r="AQ1" s="64"/>
      <c r="AR1" s="65"/>
      <c r="AS1" s="69" t="s">
        <v>52</v>
      </c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1"/>
      <c r="BE1" s="75" t="s">
        <v>3</v>
      </c>
      <c r="BF1" s="76"/>
      <c r="BG1" s="76"/>
      <c r="BH1" s="77"/>
      <c r="BI1" s="81" t="s">
        <v>63</v>
      </c>
      <c r="BJ1" s="82"/>
      <c r="BK1" s="83"/>
      <c r="BL1" s="51" t="s">
        <v>58</v>
      </c>
      <c r="BM1" s="52"/>
      <c r="BN1" s="53"/>
      <c r="BO1" s="42" t="s">
        <v>64</v>
      </c>
      <c r="BP1" s="42" t="s">
        <v>59</v>
      </c>
      <c r="BQ1" s="42" t="s">
        <v>60</v>
      </c>
      <c r="BR1" s="44" t="s">
        <v>61</v>
      </c>
      <c r="BS1" s="46" t="s">
        <v>62</v>
      </c>
      <c r="BT1" s="33" t="s">
        <v>65</v>
      </c>
      <c r="BU1" s="34"/>
      <c r="BV1" s="34"/>
      <c r="BW1" s="34"/>
      <c r="BX1" s="34"/>
      <c r="BY1" s="35"/>
      <c r="BZ1" s="1"/>
      <c r="CA1" s="1"/>
      <c r="CB1" s="1"/>
    </row>
    <row r="2" spans="1:80" ht="21" customHeight="1">
      <c r="A2" s="60"/>
      <c r="B2" s="61"/>
      <c r="C2" s="61"/>
      <c r="D2" s="61"/>
      <c r="E2" s="61"/>
      <c r="F2" s="62"/>
      <c r="G2" s="36" t="s">
        <v>66</v>
      </c>
      <c r="H2" s="37"/>
      <c r="I2" s="37"/>
      <c r="J2" s="37"/>
      <c r="K2" s="37"/>
      <c r="L2" s="38"/>
      <c r="M2" s="36" t="s">
        <v>67</v>
      </c>
      <c r="N2" s="37"/>
      <c r="O2" s="37"/>
      <c r="P2" s="38"/>
      <c r="Q2" s="36" t="s">
        <v>68</v>
      </c>
      <c r="R2" s="37"/>
      <c r="S2" s="37"/>
      <c r="T2" s="37"/>
      <c r="U2" s="37"/>
      <c r="V2" s="38"/>
      <c r="W2" s="2"/>
      <c r="X2" s="36" t="s">
        <v>69</v>
      </c>
      <c r="Y2" s="37"/>
      <c r="Z2" s="37"/>
      <c r="AA2" s="37"/>
      <c r="AB2" s="37"/>
      <c r="AC2" s="37"/>
      <c r="AD2" s="37"/>
      <c r="AE2" s="37"/>
      <c r="AF2" s="37"/>
      <c r="AG2" s="37"/>
      <c r="AH2" s="38"/>
      <c r="AI2" s="66"/>
      <c r="AJ2" s="67"/>
      <c r="AK2" s="67"/>
      <c r="AL2" s="67"/>
      <c r="AM2" s="67"/>
      <c r="AN2" s="67"/>
      <c r="AO2" s="67"/>
      <c r="AP2" s="67"/>
      <c r="AQ2" s="67"/>
      <c r="AR2" s="68"/>
      <c r="AS2" s="72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4"/>
      <c r="BE2" s="78"/>
      <c r="BF2" s="79"/>
      <c r="BG2" s="79"/>
      <c r="BH2" s="80"/>
      <c r="BI2" s="84"/>
      <c r="BJ2" s="85"/>
      <c r="BK2" s="86"/>
      <c r="BL2" s="54"/>
      <c r="BM2" s="55"/>
      <c r="BN2" s="56"/>
      <c r="BO2" s="43"/>
      <c r="BP2" s="43"/>
      <c r="BQ2" s="43"/>
      <c r="BR2" s="45"/>
      <c r="BS2" s="47"/>
      <c r="BT2" s="3"/>
      <c r="BU2" s="4"/>
      <c r="BV2" s="5"/>
      <c r="BW2" s="39" t="s">
        <v>53</v>
      </c>
      <c r="BX2" s="40"/>
      <c r="BY2" s="41"/>
      <c r="BZ2" s="1"/>
      <c r="CA2" s="1"/>
      <c r="CB2" s="1"/>
    </row>
    <row r="3" spans="1:80" ht="75" customHeight="1">
      <c r="A3" s="6" t="s">
        <v>4</v>
      </c>
      <c r="B3" s="6" t="s">
        <v>5</v>
      </c>
      <c r="C3" s="6" t="s">
        <v>6</v>
      </c>
      <c r="D3" s="7" t="s">
        <v>7</v>
      </c>
      <c r="E3" s="6" t="s">
        <v>8</v>
      </c>
      <c r="F3" s="6" t="s">
        <v>9</v>
      </c>
      <c r="G3" s="8" t="s">
        <v>70</v>
      </c>
      <c r="H3" s="8" t="s">
        <v>71</v>
      </c>
      <c r="I3" s="9" t="s">
        <v>72</v>
      </c>
      <c r="J3" s="9" t="s">
        <v>73</v>
      </c>
      <c r="K3" s="9" t="s">
        <v>74</v>
      </c>
      <c r="L3" s="8" t="s">
        <v>75</v>
      </c>
      <c r="M3" s="8" t="s">
        <v>10</v>
      </c>
      <c r="N3" s="8" t="s">
        <v>11</v>
      </c>
      <c r="O3" s="8" t="s">
        <v>12</v>
      </c>
      <c r="P3" s="8" t="s">
        <v>13</v>
      </c>
      <c r="Q3" s="8" t="s">
        <v>76</v>
      </c>
      <c r="R3" s="8" t="s">
        <v>77</v>
      </c>
      <c r="S3" s="9" t="s">
        <v>78</v>
      </c>
      <c r="T3" s="9" t="s">
        <v>79</v>
      </c>
      <c r="U3" s="9" t="s">
        <v>80</v>
      </c>
      <c r="V3" s="8" t="s">
        <v>81</v>
      </c>
      <c r="W3" s="9" t="s">
        <v>14</v>
      </c>
      <c r="X3" s="8" t="s">
        <v>15</v>
      </c>
      <c r="Y3" s="8" t="s">
        <v>16</v>
      </c>
      <c r="Z3" s="8" t="s">
        <v>17</v>
      </c>
      <c r="AA3" s="8" t="s">
        <v>18</v>
      </c>
      <c r="AB3" s="9" t="s">
        <v>19</v>
      </c>
      <c r="AC3" s="9" t="s">
        <v>20</v>
      </c>
      <c r="AD3" s="9" t="s">
        <v>21</v>
      </c>
      <c r="AE3" s="9" t="s">
        <v>22</v>
      </c>
      <c r="AF3" s="9" t="s">
        <v>23</v>
      </c>
      <c r="AG3" s="9" t="s">
        <v>24</v>
      </c>
      <c r="AH3" s="9" t="s">
        <v>25</v>
      </c>
      <c r="AI3" s="10" t="s">
        <v>26</v>
      </c>
      <c r="AJ3" s="10" t="s">
        <v>27</v>
      </c>
      <c r="AK3" s="10" t="s">
        <v>28</v>
      </c>
      <c r="AL3" s="10" t="s">
        <v>29</v>
      </c>
      <c r="AM3" s="10" t="s">
        <v>30</v>
      </c>
      <c r="AN3" s="10" t="s">
        <v>31</v>
      </c>
      <c r="AO3" s="10" t="s">
        <v>32</v>
      </c>
      <c r="AP3" s="10" t="s">
        <v>33</v>
      </c>
      <c r="AQ3" s="10" t="s">
        <v>34</v>
      </c>
      <c r="AR3" s="10" t="s">
        <v>35</v>
      </c>
      <c r="AS3" s="11" t="s">
        <v>36</v>
      </c>
      <c r="AT3" s="11" t="s">
        <v>37</v>
      </c>
      <c r="AU3" s="11" t="s">
        <v>38</v>
      </c>
      <c r="AV3" s="11" t="s">
        <v>39</v>
      </c>
      <c r="AW3" s="11" t="s">
        <v>40</v>
      </c>
      <c r="AX3" s="11" t="s">
        <v>41</v>
      </c>
      <c r="AY3" s="11" t="s">
        <v>42</v>
      </c>
      <c r="AZ3" s="11" t="s">
        <v>43</v>
      </c>
      <c r="BA3" s="11" t="s">
        <v>44</v>
      </c>
      <c r="BB3" s="11" t="s">
        <v>45</v>
      </c>
      <c r="BC3" s="11" t="s">
        <v>46</v>
      </c>
      <c r="BD3" s="11" t="s">
        <v>47</v>
      </c>
      <c r="BE3" s="12" t="s">
        <v>48</v>
      </c>
      <c r="BF3" s="12" t="s">
        <v>49</v>
      </c>
      <c r="BG3" s="12" t="s">
        <v>50</v>
      </c>
      <c r="BH3" s="12" t="s">
        <v>51</v>
      </c>
      <c r="BI3" s="13" t="s">
        <v>53</v>
      </c>
      <c r="BJ3" s="14" t="s">
        <v>54</v>
      </c>
      <c r="BK3" s="14" t="s">
        <v>55</v>
      </c>
      <c r="BL3" s="15" t="s">
        <v>56</v>
      </c>
      <c r="BM3" s="15" t="s">
        <v>57</v>
      </c>
      <c r="BN3" s="16" t="s">
        <v>58</v>
      </c>
      <c r="BO3" s="17"/>
      <c r="BP3" s="17"/>
      <c r="BQ3" s="17"/>
      <c r="BR3" s="17"/>
      <c r="BS3" s="17"/>
      <c r="BT3" s="3" t="s">
        <v>82</v>
      </c>
      <c r="BU3" s="4" t="s">
        <v>83</v>
      </c>
      <c r="BV3" s="5" t="s">
        <v>84</v>
      </c>
      <c r="BW3" s="18" t="s">
        <v>85</v>
      </c>
      <c r="BX3" s="18" t="s">
        <v>86</v>
      </c>
      <c r="BY3" s="18" t="s">
        <v>87</v>
      </c>
      <c r="BZ3" s="1"/>
      <c r="CA3" s="1"/>
      <c r="CB3" s="1"/>
    </row>
    <row r="4" spans="1:80" ht="13.8">
      <c r="A4" s="30" t="s">
        <v>88</v>
      </c>
      <c r="B4" s="30" t="s">
        <v>92</v>
      </c>
      <c r="C4" s="31">
        <v>45349</v>
      </c>
      <c r="D4" s="32" t="s">
        <v>89</v>
      </c>
      <c r="E4" s="30" t="s">
        <v>90</v>
      </c>
      <c r="F4" s="87" t="s">
        <v>91</v>
      </c>
      <c r="G4" s="22">
        <v>60</v>
      </c>
      <c r="H4" s="22">
        <v>5</v>
      </c>
      <c r="I4" s="20">
        <v>80</v>
      </c>
      <c r="J4" s="20">
        <v>10</v>
      </c>
      <c r="K4" s="20">
        <v>100</v>
      </c>
      <c r="L4" s="22">
        <v>0</v>
      </c>
      <c r="M4" s="22">
        <v>5</v>
      </c>
      <c r="N4" s="22">
        <v>0</v>
      </c>
      <c r="O4" s="22">
        <v>10</v>
      </c>
      <c r="P4" s="22">
        <v>0</v>
      </c>
      <c r="Q4" s="22">
        <v>100</v>
      </c>
      <c r="R4" s="22">
        <v>0</v>
      </c>
      <c r="S4" s="20">
        <v>20</v>
      </c>
      <c r="T4" s="20">
        <v>0</v>
      </c>
      <c r="U4" s="20">
        <v>200</v>
      </c>
      <c r="V4" s="22">
        <v>0</v>
      </c>
      <c r="W4" s="20">
        <v>5</v>
      </c>
      <c r="X4" s="22">
        <v>0</v>
      </c>
      <c r="Y4" s="22">
        <v>5</v>
      </c>
      <c r="Z4" s="22">
        <v>0</v>
      </c>
      <c r="AA4" s="22">
        <v>20</v>
      </c>
      <c r="AB4" s="20">
        <v>0</v>
      </c>
      <c r="AC4" s="20">
        <v>10</v>
      </c>
      <c r="AD4" s="20">
        <v>0</v>
      </c>
      <c r="AE4" s="20">
        <v>100</v>
      </c>
      <c r="AF4" s="20">
        <v>0</v>
      </c>
      <c r="AG4" s="20">
        <v>400</v>
      </c>
      <c r="AH4" s="20">
        <v>0</v>
      </c>
      <c r="AI4" s="20">
        <v>10</v>
      </c>
      <c r="AJ4" s="20">
        <v>0</v>
      </c>
      <c r="AK4" s="20">
        <v>80</v>
      </c>
      <c r="AL4" s="20">
        <v>0</v>
      </c>
      <c r="AM4" s="20">
        <v>80</v>
      </c>
      <c r="AN4" s="20">
        <v>0</v>
      </c>
      <c r="AO4" s="20">
        <v>80</v>
      </c>
      <c r="AP4" s="20">
        <v>0</v>
      </c>
      <c r="AQ4" s="20">
        <v>80</v>
      </c>
      <c r="AR4" s="20">
        <v>0</v>
      </c>
      <c r="AS4" s="20">
        <v>5</v>
      </c>
      <c r="AT4" s="20">
        <v>0</v>
      </c>
      <c r="AU4" s="20">
        <v>5</v>
      </c>
      <c r="AV4" s="20">
        <v>0</v>
      </c>
      <c r="AW4" s="20">
        <v>5</v>
      </c>
      <c r="AX4" s="20">
        <v>0</v>
      </c>
      <c r="AY4" s="20">
        <v>5</v>
      </c>
      <c r="AZ4" s="20">
        <v>3</v>
      </c>
      <c r="BA4" s="20">
        <v>1</v>
      </c>
      <c r="BB4" s="20">
        <v>0</v>
      </c>
      <c r="BC4" s="20">
        <v>1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19">
        <v>1</v>
      </c>
      <c r="BJ4" s="20">
        <v>0</v>
      </c>
      <c r="BK4" s="20">
        <v>0</v>
      </c>
      <c r="BL4" s="23">
        <f t="shared" ref="BL4" si="0">SUM(IF(H4&gt;0,G4),IF(J4&gt;0,I4),IF(L4&gt;0,K4),IF(N4&gt;0,M4),IF(P4&gt;0,O4),IF(R4&gt;0,Q4),IF(T4&gt;0,S4),IF(V4&gt;0,U4),IF(X4&gt;0,W4),IF(Z4&gt;0,Y4),IF(AB4&gt;0,AA4),IF(AD4&gt;0,AC4),IF(AF4&gt;0,AE4),IF(AH4&gt;0,AG4),IF(AJ4&gt;0,AI4),IF(AL4&gt;0,AK4),IF(AN4&gt;0,AM4),IF(AP4&gt;0,AO4),IF(AR4&gt;0,AQ4),IF(AT4&gt;0,AS4),IF(AV4&gt;0,AU4),IF(AX4&gt;0,AW4),IF(AZ4&gt;0,AY4),IF(BB4&gt;0,BA4),IF(BD4&gt;0,BC4))</f>
        <v>145</v>
      </c>
      <c r="BM4" s="23">
        <f t="shared" ref="BM4" si="1">SUM(H4,J4,L4,N4,P4,R4,T4,V4,X4,Z4,AB4,AD4,AF4,AH4,AJ4,AL4,AN4,AP4,AR4,AT4,AV4,AX4,AZ4,BB4,BD4)</f>
        <v>18</v>
      </c>
      <c r="BN4" s="17" cm="1">
        <f t="array" ref="BN4">_xlfn.IFS(
   F4="Intern", IFERROR(BM4/BL4*30/100, 0),
   F4="SrQAEngineer", IFERROR(BM4/BL4*30/100, 0),
   F4="JrQAEngineer", IFERROR(BM4/BL4*40/100, 0),
   F4="QAEngineer", IFERROR(BM4/BL4*35/100, 0),
   F4="QALead", IFERROR(BM4/BL4*20/100, 0)
)</f>
        <v>3.7241379310344824E-2</v>
      </c>
      <c r="BO4" s="17" cm="1">
        <f t="array" ref="BO4">_xlfn.IFS(
   F4="Intern", IF(AND(BG4=0, BI4&gt;=0.5, BL4&gt;0, BM4&gt;0), (100 - SUM(BE4:BH4)) * 0.5 / 100, 0),
   F4="JrQAEngineer", IF(AND(BG4=0, BI4&gt;=0.5, BL4&gt;0, BM4&gt;0), (100 - SUM(BE4:BH4)) * 0.4 / 100, 0),
   F4="QAEngineer", IF(AND(BG4=0, BI4&gt;=0.5, BL4&gt;0, BM4&gt;0), (100 - SUM(BE4:BH4)) * 0.4 / 100, 0),
   F4="SrQAEngineer", IF(AND(BG4=0, BI4&gt;=0.5, BL4&gt;0, BM4&gt;0), (100 - SUM(BE4:BH4)) * 0.4 / 100, 0),
   F4="QALead", IF(AND(BG4=0, BI4&gt;=0.5, BL4&gt;0, BM4&gt;0), (100 - SUM(BE4:BH4)) * 0.4 / 100, 0)
)</f>
        <v>0.4</v>
      </c>
      <c r="BP4" s="17" cm="1">
        <f t="array" ref="BP4">_xlfn.IFS(F4="Intern", (BI4*1)*10/100, F4="JrQAEngineer", (BI4*1)*10/100, F4="QAEngineer", (BI4*1)*5/100, F4="SrQAEngineer", (BI4*1)*5/100, F4="QALead", (BI4*1)*5/100)</f>
        <v>0.05</v>
      </c>
      <c r="BQ4" s="17" cm="1">
        <f t="array" ref="BQ4">_xlfn.IFS(F4="Intern", IF(BI4&gt;=0.5, BJ4*10/100/100, 0), F4="JrQAEngineer", IF(BI4&gt;=0.5, BJ4*10/100/100, 0), F4="QAEngineer", IF(BI4&gt;=0.5, BJ4*5/100/100, 0), F4="SrQAEngineer", IF(BI4&gt;=0.5, BJ4*5/100/100, 0), F4="QALead", IF(BI4&gt;=0.5, BJ4*5/100/100, 0))</f>
        <v>0</v>
      </c>
      <c r="BR4" s="17" cm="1">
        <f t="array" ref="BR4">_xlfn.IFS(F4="Intern", IF(BI4&gt;=0.5, BK4*0/100/100, 0), F4="JrQAEngineer", IF(BI4&gt;=0.5, BK4*0/100/100, 0), F4="QAEngineer", IF(BI4&gt;=0.5, BK4*15/100/100, 0), F4="SrQAEngineer", IF(BI4&gt;=0.5, BK4*20/100/100, 0), F4="QALead", IF(BI4&gt;=0.5, BK4*30/100/100, 0))</f>
        <v>0</v>
      </c>
      <c r="BS4" s="17">
        <f t="shared" ref="BS4" si="2">SUM(BN4:BR4)</f>
        <v>0.48724137931034484</v>
      </c>
    </row>
    <row r="5" spans="1:80" ht="13.8">
      <c r="A5" s="30" t="s">
        <v>88</v>
      </c>
      <c r="B5" s="30" t="s">
        <v>92</v>
      </c>
      <c r="C5" s="31">
        <v>45350</v>
      </c>
      <c r="D5" s="32" t="s">
        <v>89</v>
      </c>
      <c r="E5" s="30" t="s">
        <v>90</v>
      </c>
      <c r="F5" s="87" t="s">
        <v>91</v>
      </c>
      <c r="G5" s="22">
        <v>60</v>
      </c>
      <c r="H5" s="22">
        <v>5</v>
      </c>
      <c r="I5" s="20">
        <v>80</v>
      </c>
      <c r="J5" s="20">
        <v>11</v>
      </c>
      <c r="K5" s="20">
        <v>100</v>
      </c>
      <c r="L5" s="22">
        <v>0</v>
      </c>
      <c r="M5" s="22">
        <v>5</v>
      </c>
      <c r="N5" s="22">
        <v>0</v>
      </c>
      <c r="O5" s="22">
        <v>10</v>
      </c>
      <c r="P5" s="22">
        <v>0</v>
      </c>
      <c r="Q5" s="22">
        <v>100</v>
      </c>
      <c r="R5" s="22">
        <v>0</v>
      </c>
      <c r="S5" s="20">
        <v>20</v>
      </c>
      <c r="T5" s="20">
        <v>0</v>
      </c>
      <c r="U5" s="20">
        <v>200</v>
      </c>
      <c r="V5" s="22">
        <v>0</v>
      </c>
      <c r="W5" s="20">
        <v>5</v>
      </c>
      <c r="X5" s="22">
        <v>0</v>
      </c>
      <c r="Y5" s="22">
        <v>5</v>
      </c>
      <c r="Z5" s="22">
        <v>0</v>
      </c>
      <c r="AA5" s="22">
        <v>20</v>
      </c>
      <c r="AB5" s="20">
        <v>0</v>
      </c>
      <c r="AC5" s="20">
        <v>10</v>
      </c>
      <c r="AD5" s="20">
        <v>0</v>
      </c>
      <c r="AE5" s="20">
        <v>100</v>
      </c>
      <c r="AF5" s="20">
        <v>0</v>
      </c>
      <c r="AG5" s="20">
        <v>400</v>
      </c>
      <c r="AH5" s="20">
        <v>0</v>
      </c>
      <c r="AI5" s="20">
        <v>10</v>
      </c>
      <c r="AJ5" s="20">
        <v>0</v>
      </c>
      <c r="AK5" s="20">
        <v>80</v>
      </c>
      <c r="AL5" s="20">
        <v>0</v>
      </c>
      <c r="AM5" s="20">
        <v>80</v>
      </c>
      <c r="AN5" s="20">
        <v>0</v>
      </c>
      <c r="AO5" s="20">
        <v>80</v>
      </c>
      <c r="AP5" s="20">
        <v>0</v>
      </c>
      <c r="AQ5" s="20">
        <v>80</v>
      </c>
      <c r="AR5" s="20">
        <v>0</v>
      </c>
      <c r="AS5" s="20">
        <v>5</v>
      </c>
      <c r="AT5" s="20">
        <v>0</v>
      </c>
      <c r="AU5" s="20">
        <v>5</v>
      </c>
      <c r="AV5" s="20">
        <v>0</v>
      </c>
      <c r="AW5" s="20">
        <v>5</v>
      </c>
      <c r="AX5" s="20">
        <v>0</v>
      </c>
      <c r="AY5" s="20">
        <v>5</v>
      </c>
      <c r="AZ5" s="20">
        <v>3</v>
      </c>
      <c r="BA5" s="20">
        <v>1</v>
      </c>
      <c r="BB5" s="20">
        <v>0</v>
      </c>
      <c r="BC5" s="20">
        <v>1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19">
        <v>1</v>
      </c>
      <c r="BJ5" s="20">
        <v>0</v>
      </c>
      <c r="BK5" s="20">
        <v>0</v>
      </c>
      <c r="BL5" s="23">
        <f t="shared" ref="BL5" si="3">SUM(IF(H5&gt;0,G5),IF(J5&gt;0,I5),IF(L5&gt;0,K5),IF(N5&gt;0,M5),IF(P5&gt;0,O5),IF(R5&gt;0,Q5),IF(T5&gt;0,S5),IF(V5&gt;0,U5),IF(X5&gt;0,W5),IF(Z5&gt;0,Y5),IF(AB5&gt;0,AA5),IF(AD5&gt;0,AC5),IF(AF5&gt;0,AE5),IF(AH5&gt;0,AG5),IF(AJ5&gt;0,AI5),IF(AL5&gt;0,AK5),IF(AN5&gt;0,AM5),IF(AP5&gt;0,AO5),IF(AR5&gt;0,AQ5),IF(AT5&gt;0,AS5),IF(AV5&gt;0,AU5),IF(AX5&gt;0,AW5),IF(AZ5&gt;0,AY5),IF(BB5&gt;0,BA5),IF(BD5&gt;0,BC5))</f>
        <v>145</v>
      </c>
      <c r="BM5" s="23">
        <f t="shared" ref="BM5" si="4">SUM(H5,J5,L5,N5,P5,R5,T5,V5,X5,Z5,AB5,AD5,AF5,AH5,AJ5,AL5,AN5,AP5,AR5,AT5,AV5,AX5,AZ5,BB5,BD5)</f>
        <v>19</v>
      </c>
      <c r="BN5" s="17" cm="1">
        <f t="array" ref="BN5">_xlfn.IFS(
   F5="Intern", IFERROR(BM5/BL5*30/100, 0),
   F5="SrQAEngineer", IFERROR(BM5/BL5*30/100, 0),
   F5="JrQAEngineer", IFERROR(BM5/BL5*40/100, 0),
   F5="QAEngineer", IFERROR(BM5/BL5*35/100, 0),
   F5="QALead", IFERROR(BM5/BL5*20/100, 0)
)</f>
        <v>3.9310344827586212E-2</v>
      </c>
      <c r="BO5" s="17" cm="1">
        <f t="array" ref="BO5">_xlfn.IFS(
   F5="Intern", IF(AND(BG5=0, BI5&gt;=0.5, BL5&gt;0, BM5&gt;0), (100 - SUM(BE5:BH5)) * 0.5 / 100, 0),
   F5="JrQAEngineer", IF(AND(BG5=0, BI5&gt;=0.5, BL5&gt;0, BM5&gt;0), (100 - SUM(BE5:BH5)) * 0.4 / 100, 0),
   F5="QAEngineer", IF(AND(BG5=0, BI5&gt;=0.5, BL5&gt;0, BM5&gt;0), (100 - SUM(BE5:BH5)) * 0.4 / 100, 0),
   F5="SrQAEngineer", IF(AND(BG5=0, BI5&gt;=0.5, BL5&gt;0, BM5&gt;0), (100 - SUM(BE5:BH5)) * 0.4 / 100, 0),
   F5="QALead", IF(AND(BG5=0, BI5&gt;=0.5, BL5&gt;0, BM5&gt;0), (100 - SUM(BE5:BH5)) * 0.4 / 100, 0)
)</f>
        <v>0.4</v>
      </c>
      <c r="BP5" s="17" cm="1">
        <f t="array" ref="BP5">_xlfn.IFS(F5="Intern", (BI5*1)*10/100, F5="JrQAEngineer", (BI5*1)*10/100, F5="QAEngineer", (BI5*1)*5/100, F5="SrQAEngineer", (BI5*1)*5/100, F5="QALead", (BI5*1)*5/100)</f>
        <v>0.05</v>
      </c>
      <c r="BQ5" s="17" cm="1">
        <f t="array" ref="BQ5">_xlfn.IFS(F5="Intern", IF(BI5&gt;=0.5, BJ5*10/100/100, 0), F5="JrQAEngineer", IF(BI5&gt;=0.5, BJ5*10/100/100, 0), F5="QAEngineer", IF(BI5&gt;=0.5, BJ5*5/100/100, 0), F5="SrQAEngineer", IF(BI5&gt;=0.5, BJ5*5/100/100, 0), F5="QALead", IF(BI5&gt;=0.5, BJ5*5/100/100, 0))</f>
        <v>0</v>
      </c>
      <c r="BR5" s="17" cm="1">
        <f t="array" ref="BR5">_xlfn.IFS(F5="Intern", IF(BI5&gt;=0.5, BK5*0/100/100, 0), F5="JrQAEngineer", IF(BI5&gt;=0.5, BK5*0/100/100, 0), F5="QAEngineer", IF(BI5&gt;=0.5, BK5*15/100/100, 0), F5="SrQAEngineer", IF(BI5&gt;=0.5, BK5*20/100/100, 0), F5="QALead", IF(BI5&gt;=0.5, BK5*30/100/100, 0))</f>
        <v>0</v>
      </c>
      <c r="BS5" s="17">
        <f t="shared" ref="BS5" si="5">SUM(BN5:BR5)</f>
        <v>0.48931034482758623</v>
      </c>
    </row>
    <row r="6" spans="1:80" ht="13.2">
      <c r="A6" s="19"/>
      <c r="B6" s="20"/>
      <c r="C6" s="20"/>
      <c r="D6" s="21"/>
      <c r="E6" s="20"/>
      <c r="F6" s="20"/>
      <c r="G6" s="22"/>
      <c r="H6" s="22"/>
      <c r="I6" s="20"/>
      <c r="J6" s="20"/>
      <c r="K6" s="20"/>
      <c r="L6" s="22"/>
      <c r="M6" s="22"/>
      <c r="N6" s="22"/>
      <c r="O6" s="22"/>
      <c r="P6" s="22"/>
      <c r="Q6" s="22"/>
      <c r="R6" s="22"/>
      <c r="S6" s="20"/>
      <c r="T6" s="20"/>
      <c r="U6" s="20"/>
      <c r="V6" s="22"/>
      <c r="W6" s="20"/>
      <c r="X6" s="22"/>
      <c r="Y6" s="22"/>
      <c r="Z6" s="22"/>
      <c r="AA6" s="22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19"/>
      <c r="BJ6" s="20"/>
      <c r="BK6" s="20"/>
      <c r="BL6" s="23"/>
      <c r="BM6" s="23"/>
      <c r="BN6" s="17"/>
      <c r="BO6" s="17"/>
      <c r="BP6" s="17"/>
      <c r="BQ6" s="17"/>
      <c r="BR6" s="17"/>
      <c r="BS6" s="17"/>
    </row>
    <row r="7" spans="1:80" ht="13.2">
      <c r="A7" s="19"/>
      <c r="B7" s="20"/>
      <c r="C7" s="20"/>
      <c r="D7" s="21"/>
      <c r="E7" s="20"/>
      <c r="F7" s="20"/>
      <c r="G7" s="22"/>
      <c r="H7" s="22"/>
      <c r="I7" s="20"/>
      <c r="J7" s="20"/>
      <c r="K7" s="20"/>
      <c r="L7" s="22"/>
      <c r="M7" s="22"/>
      <c r="N7" s="22"/>
      <c r="O7" s="22"/>
      <c r="P7" s="22"/>
      <c r="Q7" s="22"/>
      <c r="R7" s="22"/>
      <c r="S7" s="20"/>
      <c r="T7" s="20"/>
      <c r="U7" s="20"/>
      <c r="V7" s="22"/>
      <c r="W7" s="20"/>
      <c r="X7" s="22"/>
      <c r="Y7" s="22"/>
      <c r="Z7" s="22"/>
      <c r="AA7" s="22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19"/>
      <c r="BJ7" s="20"/>
      <c r="BK7" s="20"/>
      <c r="BL7" s="23"/>
      <c r="BM7" s="23"/>
      <c r="BN7" s="17"/>
      <c r="BO7" s="17"/>
      <c r="BP7" s="17"/>
      <c r="BQ7" s="17"/>
      <c r="BR7" s="17"/>
      <c r="BS7" s="17"/>
    </row>
    <row r="8" spans="1:80" ht="13.2">
      <c r="A8" s="19"/>
      <c r="B8" s="20"/>
      <c r="C8" s="20"/>
      <c r="D8" s="21"/>
      <c r="E8" s="20"/>
      <c r="F8" s="20"/>
      <c r="G8" s="22"/>
      <c r="H8" s="22"/>
      <c r="I8" s="20"/>
      <c r="J8" s="20"/>
      <c r="K8" s="20"/>
      <c r="L8" s="22"/>
      <c r="M8" s="22"/>
      <c r="N8" s="22"/>
      <c r="O8" s="22"/>
      <c r="P8" s="22"/>
      <c r="Q8" s="22"/>
      <c r="R8" s="22"/>
      <c r="S8" s="20"/>
      <c r="T8" s="20"/>
      <c r="U8" s="20"/>
      <c r="V8" s="22"/>
      <c r="W8" s="20"/>
      <c r="X8" s="22"/>
      <c r="Y8" s="22"/>
      <c r="Z8" s="22"/>
      <c r="AA8" s="22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19"/>
      <c r="BJ8" s="20"/>
      <c r="BK8" s="20"/>
      <c r="BL8" s="23"/>
      <c r="BM8" s="23"/>
      <c r="BN8" s="17"/>
      <c r="BO8" s="17"/>
      <c r="BP8" s="17"/>
      <c r="BQ8" s="17"/>
      <c r="BR8" s="17"/>
      <c r="BS8" s="17"/>
    </row>
    <row r="9" spans="1:80" ht="13.2">
      <c r="A9" s="19"/>
      <c r="B9" s="20"/>
      <c r="C9" s="20"/>
      <c r="D9" s="21"/>
      <c r="E9" s="20"/>
      <c r="F9" s="20"/>
      <c r="G9" s="22"/>
      <c r="H9" s="22"/>
      <c r="I9" s="20"/>
      <c r="J9" s="20"/>
      <c r="K9" s="20"/>
      <c r="L9" s="22"/>
      <c r="M9" s="22"/>
      <c r="N9" s="22"/>
      <c r="O9" s="22"/>
      <c r="P9" s="22"/>
      <c r="Q9" s="22"/>
      <c r="R9" s="22"/>
      <c r="S9" s="20"/>
      <c r="T9" s="20"/>
      <c r="U9" s="20"/>
      <c r="V9" s="22"/>
      <c r="W9" s="20"/>
      <c r="X9" s="22"/>
      <c r="Y9" s="22"/>
      <c r="Z9" s="22"/>
      <c r="AA9" s="22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19"/>
      <c r="BJ9" s="20"/>
      <c r="BK9" s="20"/>
      <c r="BL9" s="23"/>
      <c r="BM9" s="23"/>
      <c r="BN9" s="17"/>
      <c r="BO9" s="17"/>
      <c r="BP9" s="17"/>
      <c r="BQ9" s="17"/>
      <c r="BR9" s="17"/>
      <c r="BS9" s="17"/>
    </row>
    <row r="10" spans="1:80" ht="13.2">
      <c r="A10" s="19"/>
      <c r="B10" s="20"/>
      <c r="C10" s="20"/>
      <c r="D10" s="21"/>
      <c r="E10" s="20"/>
      <c r="F10" s="20"/>
      <c r="G10" s="22"/>
      <c r="H10" s="22"/>
      <c r="I10" s="20"/>
      <c r="J10" s="20"/>
      <c r="K10" s="20"/>
      <c r="L10" s="22"/>
      <c r="M10" s="22"/>
      <c r="N10" s="22"/>
      <c r="O10" s="22"/>
      <c r="P10" s="22"/>
      <c r="Q10" s="22"/>
      <c r="R10" s="22"/>
      <c r="S10" s="20"/>
      <c r="T10" s="20"/>
      <c r="U10" s="20"/>
      <c r="V10" s="22"/>
      <c r="W10" s="20"/>
      <c r="X10" s="22"/>
      <c r="Y10" s="22"/>
      <c r="Z10" s="22"/>
      <c r="AA10" s="22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19"/>
      <c r="BJ10" s="20"/>
      <c r="BK10" s="20"/>
      <c r="BL10" s="23"/>
      <c r="BM10" s="23"/>
      <c r="BN10" s="17"/>
      <c r="BO10" s="17"/>
      <c r="BP10" s="17"/>
      <c r="BQ10" s="17"/>
      <c r="BR10" s="17"/>
      <c r="BS10" s="17"/>
    </row>
    <row r="11" spans="1:80" ht="13.2">
      <c r="A11" s="19"/>
      <c r="B11" s="20"/>
      <c r="C11" s="20"/>
      <c r="D11" s="21"/>
      <c r="E11" s="20"/>
      <c r="F11" s="20"/>
      <c r="G11" s="22"/>
      <c r="H11" s="22"/>
      <c r="I11" s="20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0"/>
      <c r="U11" s="20"/>
      <c r="V11" s="22"/>
      <c r="W11" s="20"/>
      <c r="X11" s="22"/>
      <c r="Y11" s="22"/>
      <c r="Z11" s="22"/>
      <c r="AA11" s="22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19"/>
      <c r="BJ11" s="20"/>
      <c r="BK11" s="20"/>
      <c r="BL11" s="23"/>
      <c r="BM11" s="23"/>
      <c r="BN11" s="17"/>
      <c r="BO11" s="17"/>
      <c r="BP11" s="17"/>
      <c r="BQ11" s="17"/>
      <c r="BR11" s="17"/>
      <c r="BS11" s="17"/>
    </row>
    <row r="12" spans="1:80" ht="13.2">
      <c r="A12" s="19"/>
      <c r="B12" s="20"/>
      <c r="C12" s="20"/>
      <c r="D12" s="21"/>
      <c r="E12" s="20"/>
      <c r="F12" s="20"/>
      <c r="G12" s="22"/>
      <c r="H12" s="22"/>
      <c r="I12" s="20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0"/>
      <c r="U12" s="20"/>
      <c r="V12" s="22"/>
      <c r="W12" s="20"/>
      <c r="X12" s="22"/>
      <c r="Y12" s="22"/>
      <c r="Z12" s="22"/>
      <c r="AA12" s="22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19"/>
      <c r="BJ12" s="20"/>
      <c r="BK12" s="20"/>
      <c r="BL12" s="23"/>
      <c r="BM12" s="23"/>
      <c r="BN12" s="17"/>
      <c r="BO12" s="17"/>
      <c r="BP12" s="17"/>
      <c r="BQ12" s="17"/>
      <c r="BR12" s="17"/>
      <c r="BS12" s="17"/>
    </row>
    <row r="13" spans="1:80" ht="13.2">
      <c r="A13" s="19"/>
      <c r="B13" s="20"/>
      <c r="C13" s="20"/>
      <c r="D13" s="21"/>
      <c r="E13" s="20"/>
      <c r="F13" s="20"/>
      <c r="G13" s="22"/>
      <c r="H13" s="22"/>
      <c r="I13" s="20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0"/>
      <c r="U13" s="20"/>
      <c r="V13" s="22"/>
      <c r="W13" s="20"/>
      <c r="X13" s="22"/>
      <c r="Y13" s="22"/>
      <c r="Z13" s="22"/>
      <c r="AA13" s="22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19"/>
      <c r="BJ13" s="20"/>
      <c r="BK13" s="20"/>
      <c r="BL13" s="23"/>
      <c r="BM13" s="23"/>
      <c r="BN13" s="17"/>
      <c r="BO13" s="17"/>
      <c r="BP13" s="17"/>
      <c r="BQ13" s="17"/>
      <c r="BR13" s="17"/>
      <c r="BS13" s="17"/>
    </row>
    <row r="14" spans="1:80" ht="13.2">
      <c r="A14" s="19"/>
      <c r="B14" s="20"/>
      <c r="C14" s="20"/>
      <c r="D14" s="21"/>
      <c r="E14" s="20"/>
      <c r="F14" s="20"/>
      <c r="G14" s="22"/>
      <c r="H14" s="22"/>
      <c r="I14" s="20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0"/>
      <c r="U14" s="20"/>
      <c r="V14" s="22"/>
      <c r="W14" s="20"/>
      <c r="X14" s="22"/>
      <c r="Y14" s="22"/>
      <c r="Z14" s="22"/>
      <c r="AA14" s="22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19"/>
      <c r="BJ14" s="20"/>
      <c r="BK14" s="20"/>
      <c r="BL14" s="23"/>
      <c r="BM14" s="23"/>
      <c r="BN14" s="17"/>
      <c r="BO14" s="17"/>
      <c r="BP14" s="17"/>
      <c r="BQ14" s="17"/>
      <c r="BR14" s="17"/>
      <c r="BS14" s="17"/>
    </row>
    <row r="15" spans="1:80" ht="13.2">
      <c r="A15" s="19"/>
      <c r="B15" s="20"/>
      <c r="C15" s="20"/>
      <c r="D15" s="21"/>
      <c r="E15" s="20"/>
      <c r="F15" s="20"/>
      <c r="G15" s="22"/>
      <c r="H15" s="22"/>
      <c r="I15" s="20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0"/>
      <c r="U15" s="20"/>
      <c r="V15" s="22"/>
      <c r="W15" s="20"/>
      <c r="X15" s="22"/>
      <c r="Y15" s="22"/>
      <c r="Z15" s="22"/>
      <c r="AA15" s="22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19"/>
      <c r="BJ15" s="20"/>
      <c r="BK15" s="20"/>
      <c r="BL15" s="23"/>
      <c r="BM15" s="23"/>
      <c r="BN15" s="17"/>
      <c r="BO15" s="17"/>
      <c r="BP15" s="17"/>
      <c r="BQ15" s="17"/>
      <c r="BR15" s="17"/>
      <c r="BS15" s="17"/>
    </row>
    <row r="16" spans="1:80" ht="13.2">
      <c r="A16" s="24"/>
      <c r="B16" s="25"/>
      <c r="C16" s="25"/>
      <c r="D16" s="26"/>
      <c r="E16" s="25"/>
      <c r="F16" s="25"/>
      <c r="G16" s="27"/>
      <c r="H16" s="27"/>
      <c r="I16" s="25"/>
      <c r="J16" s="25"/>
      <c r="K16" s="25"/>
      <c r="L16" s="27"/>
      <c r="M16" s="27"/>
      <c r="N16" s="27"/>
      <c r="O16" s="27"/>
      <c r="P16" s="27"/>
      <c r="Q16" s="27"/>
      <c r="R16" s="27"/>
      <c r="S16" s="25"/>
      <c r="T16" s="25"/>
      <c r="U16" s="25"/>
      <c r="V16" s="27"/>
      <c r="W16" s="25"/>
      <c r="X16" s="27"/>
      <c r="Y16" s="27"/>
      <c r="Z16" s="27"/>
      <c r="AA16" s="27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4"/>
      <c r="BJ16" s="25"/>
      <c r="BK16" s="25"/>
      <c r="BL16" s="23"/>
      <c r="BM16" s="23"/>
      <c r="BN16" s="17"/>
      <c r="BO16" s="17"/>
      <c r="BP16" s="17"/>
      <c r="BQ16" s="17"/>
      <c r="BR16" s="17"/>
      <c r="BS16" s="17"/>
      <c r="BT16" s="25"/>
      <c r="BU16" s="25"/>
      <c r="BV16" s="25"/>
      <c r="BW16" s="25"/>
      <c r="BX16" s="25"/>
      <c r="BY16" s="25"/>
      <c r="BZ16" s="25"/>
      <c r="CA16" s="25"/>
      <c r="CB16" s="25"/>
    </row>
    <row r="17" spans="1:80" ht="13.2">
      <c r="A17" s="19"/>
      <c r="B17" s="20"/>
      <c r="C17" s="20"/>
      <c r="D17" s="21"/>
      <c r="E17" s="20"/>
      <c r="F17" s="20"/>
      <c r="G17" s="22"/>
      <c r="H17" s="22"/>
      <c r="I17" s="20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0"/>
      <c r="U17" s="20"/>
      <c r="V17" s="22"/>
      <c r="W17" s="20"/>
      <c r="X17" s="22"/>
      <c r="Y17" s="22"/>
      <c r="Z17" s="22"/>
      <c r="AA17" s="22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19"/>
      <c r="BJ17" s="20"/>
      <c r="BK17" s="20"/>
      <c r="BL17" s="23"/>
      <c r="BM17" s="23"/>
      <c r="BN17" s="17"/>
      <c r="BO17" s="17"/>
      <c r="BP17" s="17"/>
      <c r="BQ17" s="17"/>
      <c r="BR17" s="17"/>
      <c r="BS17" s="17"/>
    </row>
    <row r="18" spans="1:80" ht="13.2">
      <c r="A18" s="19"/>
      <c r="B18" s="20"/>
      <c r="C18" s="20"/>
      <c r="D18" s="21"/>
      <c r="E18" s="20"/>
      <c r="F18" s="20"/>
      <c r="G18" s="22"/>
      <c r="H18" s="22"/>
      <c r="I18" s="20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0"/>
      <c r="U18" s="20"/>
      <c r="V18" s="22"/>
      <c r="W18" s="20"/>
      <c r="X18" s="22"/>
      <c r="Y18" s="22"/>
      <c r="Z18" s="22"/>
      <c r="AA18" s="22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19"/>
      <c r="BJ18" s="20"/>
      <c r="BK18" s="20"/>
      <c r="BL18" s="23"/>
      <c r="BM18" s="23"/>
      <c r="BN18" s="17"/>
      <c r="BO18" s="17"/>
      <c r="BP18" s="17"/>
      <c r="BQ18" s="17"/>
      <c r="BR18" s="17"/>
      <c r="BS18" s="17"/>
    </row>
    <row r="19" spans="1:80" ht="13.2">
      <c r="A19" s="19"/>
      <c r="B19" s="20"/>
      <c r="C19" s="20"/>
      <c r="D19" s="21"/>
      <c r="E19" s="20"/>
      <c r="F19" s="20"/>
      <c r="G19" s="22"/>
      <c r="H19" s="22"/>
      <c r="I19" s="20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0"/>
      <c r="U19" s="20"/>
      <c r="V19" s="22"/>
      <c r="W19" s="20"/>
      <c r="X19" s="22"/>
      <c r="Y19" s="22"/>
      <c r="Z19" s="22"/>
      <c r="AA19" s="22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19"/>
      <c r="BJ19" s="20"/>
      <c r="BK19" s="20"/>
      <c r="BL19" s="23"/>
      <c r="BM19" s="23"/>
      <c r="BN19" s="17"/>
      <c r="BO19" s="17"/>
      <c r="BP19" s="17"/>
      <c r="BQ19" s="17"/>
      <c r="BR19" s="17"/>
      <c r="BS19" s="17"/>
    </row>
    <row r="20" spans="1:80" ht="13.2">
      <c r="A20" s="19"/>
      <c r="B20" s="20"/>
      <c r="C20" s="20"/>
      <c r="D20" s="21"/>
      <c r="E20" s="20"/>
      <c r="F20" s="20"/>
      <c r="G20" s="22"/>
      <c r="H20" s="22"/>
      <c r="I20" s="20"/>
      <c r="J20" s="20"/>
      <c r="K20" s="20"/>
      <c r="L20" s="22"/>
      <c r="M20" s="22"/>
      <c r="N20" s="22"/>
      <c r="O20" s="22"/>
      <c r="P20" s="22"/>
      <c r="Q20" s="22"/>
      <c r="R20" s="22"/>
      <c r="S20" s="20"/>
      <c r="T20" s="20"/>
      <c r="U20" s="20"/>
      <c r="V20" s="22"/>
      <c r="W20" s="20"/>
      <c r="X20" s="22"/>
      <c r="Y20" s="22"/>
      <c r="Z20" s="22"/>
      <c r="AA20" s="22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19"/>
      <c r="BJ20" s="20"/>
      <c r="BK20" s="20"/>
      <c r="BL20" s="23"/>
      <c r="BM20" s="23"/>
      <c r="BN20" s="17"/>
      <c r="BO20" s="17"/>
      <c r="BP20" s="17"/>
      <c r="BQ20" s="17"/>
      <c r="BR20" s="17"/>
      <c r="BS20" s="17"/>
    </row>
    <row r="21" spans="1:80" ht="13.2">
      <c r="A21" s="19"/>
      <c r="B21" s="20"/>
      <c r="C21" s="20"/>
      <c r="D21" s="21"/>
      <c r="E21" s="20"/>
      <c r="F21" s="20"/>
      <c r="G21" s="22"/>
      <c r="H21" s="22"/>
      <c r="I21" s="20"/>
      <c r="J21" s="20"/>
      <c r="K21" s="20"/>
      <c r="L21" s="22"/>
      <c r="M21" s="22"/>
      <c r="N21" s="22"/>
      <c r="O21" s="22"/>
      <c r="P21" s="22"/>
      <c r="Q21" s="22"/>
      <c r="R21" s="22"/>
      <c r="S21" s="20"/>
      <c r="T21" s="20"/>
      <c r="U21" s="20"/>
      <c r="V21" s="22"/>
      <c r="W21" s="20"/>
      <c r="X21" s="22"/>
      <c r="Y21" s="22"/>
      <c r="Z21" s="22"/>
      <c r="AA21" s="22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19"/>
      <c r="BJ21" s="20"/>
      <c r="BK21" s="20"/>
      <c r="BL21" s="23"/>
      <c r="BM21" s="23"/>
      <c r="BN21" s="17"/>
      <c r="BO21" s="17"/>
      <c r="BP21" s="17"/>
      <c r="BQ21" s="17"/>
      <c r="BR21" s="17"/>
      <c r="BS21" s="17"/>
    </row>
    <row r="22" spans="1:80" ht="13.2">
      <c r="A22" s="19"/>
      <c r="B22" s="20"/>
      <c r="C22" s="20"/>
      <c r="D22" s="21"/>
      <c r="E22" s="20"/>
      <c r="F22" s="20"/>
      <c r="G22" s="22"/>
      <c r="H22" s="22"/>
      <c r="I22" s="20"/>
      <c r="J22" s="20"/>
      <c r="K22" s="20"/>
      <c r="L22" s="22"/>
      <c r="M22" s="22"/>
      <c r="N22" s="22"/>
      <c r="O22" s="22"/>
      <c r="P22" s="22"/>
      <c r="Q22" s="22"/>
      <c r="R22" s="22"/>
      <c r="S22" s="20"/>
      <c r="T22" s="20"/>
      <c r="U22" s="20"/>
      <c r="V22" s="22"/>
      <c r="W22" s="20"/>
      <c r="X22" s="22"/>
      <c r="Y22" s="22"/>
      <c r="Z22" s="22"/>
      <c r="AA22" s="22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19"/>
      <c r="BJ22" s="20"/>
      <c r="BK22" s="20"/>
      <c r="BL22" s="23"/>
      <c r="BM22" s="23"/>
      <c r="BN22" s="17"/>
      <c r="BO22" s="17"/>
      <c r="BP22" s="17"/>
      <c r="BQ22" s="17"/>
      <c r="BR22" s="17"/>
      <c r="BS22" s="17"/>
    </row>
    <row r="23" spans="1:80" ht="13.2">
      <c r="A23" s="19"/>
      <c r="B23" s="20"/>
      <c r="C23" s="20"/>
      <c r="D23" s="21"/>
      <c r="E23" s="20"/>
      <c r="F23" s="20"/>
      <c r="G23" s="22"/>
      <c r="H23" s="22"/>
      <c r="I23" s="20"/>
      <c r="J23" s="20"/>
      <c r="K23" s="20"/>
      <c r="L23" s="22"/>
      <c r="M23" s="22"/>
      <c r="N23" s="22"/>
      <c r="O23" s="22"/>
      <c r="P23" s="22"/>
      <c r="Q23" s="22"/>
      <c r="R23" s="22"/>
      <c r="S23" s="20"/>
      <c r="T23" s="20"/>
      <c r="U23" s="20"/>
      <c r="V23" s="22"/>
      <c r="W23" s="20"/>
      <c r="X23" s="22"/>
      <c r="Y23" s="22"/>
      <c r="Z23" s="22"/>
      <c r="AA23" s="22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19"/>
      <c r="BJ23" s="20"/>
      <c r="BK23" s="20"/>
      <c r="BL23" s="23"/>
      <c r="BM23" s="23"/>
      <c r="BN23" s="17"/>
      <c r="BO23" s="17"/>
      <c r="BP23" s="17"/>
      <c r="BQ23" s="17"/>
      <c r="BR23" s="17"/>
      <c r="BS23" s="17"/>
    </row>
    <row r="24" spans="1:80" ht="13.2">
      <c r="A24" s="24"/>
      <c r="B24" s="25"/>
      <c r="C24" s="25"/>
      <c r="D24" s="26"/>
      <c r="E24" s="25"/>
      <c r="F24" s="25"/>
      <c r="G24" s="27"/>
      <c r="H24" s="27"/>
      <c r="I24" s="25"/>
      <c r="J24" s="25"/>
      <c r="K24" s="25"/>
      <c r="L24" s="27"/>
      <c r="M24" s="27"/>
      <c r="N24" s="27"/>
      <c r="O24" s="27"/>
      <c r="P24" s="27"/>
      <c r="Q24" s="27"/>
      <c r="R24" s="27"/>
      <c r="S24" s="25"/>
      <c r="T24" s="25"/>
      <c r="U24" s="25"/>
      <c r="V24" s="27"/>
      <c r="W24" s="25"/>
      <c r="X24" s="27"/>
      <c r="Y24" s="27"/>
      <c r="Z24" s="27"/>
      <c r="AA24" s="27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4"/>
      <c r="BJ24" s="25"/>
      <c r="BK24" s="25"/>
      <c r="BL24" s="23"/>
      <c r="BM24" s="23"/>
      <c r="BN24" s="17"/>
      <c r="BO24" s="17"/>
      <c r="BP24" s="17"/>
      <c r="BQ24" s="17"/>
      <c r="BR24" s="17"/>
      <c r="BS24" s="17"/>
      <c r="BT24" s="25"/>
      <c r="BU24" s="25"/>
      <c r="BV24" s="25"/>
      <c r="BW24" s="25"/>
      <c r="BX24" s="25"/>
      <c r="BY24" s="25"/>
      <c r="BZ24" s="25"/>
      <c r="CA24" s="25"/>
      <c r="CB24" s="25"/>
    </row>
    <row r="25" spans="1:80" ht="13.2">
      <c r="A25" s="19"/>
      <c r="B25" s="20"/>
      <c r="C25" s="20"/>
      <c r="D25" s="21"/>
      <c r="E25" s="20"/>
      <c r="F25" s="20"/>
      <c r="G25" s="22"/>
      <c r="H25" s="22"/>
      <c r="I25" s="20"/>
      <c r="J25" s="20"/>
      <c r="K25" s="20"/>
      <c r="L25" s="22"/>
      <c r="M25" s="22"/>
      <c r="N25" s="22"/>
      <c r="O25" s="22"/>
      <c r="P25" s="22"/>
      <c r="Q25" s="22"/>
      <c r="R25" s="22"/>
      <c r="S25" s="20"/>
      <c r="T25" s="20"/>
      <c r="U25" s="20"/>
      <c r="V25" s="22"/>
      <c r="W25" s="20"/>
      <c r="X25" s="22"/>
      <c r="Y25" s="22"/>
      <c r="Z25" s="22"/>
      <c r="AA25" s="22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19"/>
      <c r="BJ25" s="20"/>
      <c r="BK25" s="20"/>
      <c r="BL25" s="23"/>
      <c r="BM25" s="23"/>
      <c r="BN25" s="17"/>
      <c r="BO25" s="17"/>
      <c r="BP25" s="17"/>
      <c r="BQ25" s="17"/>
      <c r="BR25" s="17"/>
      <c r="BS25" s="17"/>
    </row>
    <row r="26" spans="1:80" ht="13.2">
      <c r="A26" s="19"/>
      <c r="B26" s="20"/>
      <c r="C26" s="20"/>
      <c r="D26" s="21"/>
      <c r="E26" s="20"/>
      <c r="F26" s="20"/>
      <c r="G26" s="22"/>
      <c r="H26" s="22"/>
      <c r="I26" s="20"/>
      <c r="J26" s="20"/>
      <c r="K26" s="20"/>
      <c r="L26" s="22"/>
      <c r="M26" s="22"/>
      <c r="N26" s="22"/>
      <c r="O26" s="22"/>
      <c r="P26" s="22"/>
      <c r="Q26" s="22"/>
      <c r="R26" s="22"/>
      <c r="S26" s="20"/>
      <c r="T26" s="20"/>
      <c r="U26" s="20"/>
      <c r="V26" s="22"/>
      <c r="W26" s="20"/>
      <c r="X26" s="22"/>
      <c r="Y26" s="22"/>
      <c r="Z26" s="22"/>
      <c r="AA26" s="22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19"/>
      <c r="BJ26" s="20"/>
      <c r="BK26" s="20"/>
      <c r="BL26" s="23"/>
      <c r="BM26" s="23"/>
      <c r="BN26" s="17"/>
      <c r="BO26" s="17"/>
      <c r="BP26" s="17"/>
      <c r="BQ26" s="17"/>
      <c r="BR26" s="17"/>
      <c r="BS26" s="17"/>
    </row>
    <row r="27" spans="1:80" ht="13.2">
      <c r="A27" s="19"/>
      <c r="B27" s="20"/>
      <c r="C27" s="20"/>
      <c r="D27" s="21"/>
      <c r="E27" s="20"/>
      <c r="F27" s="20"/>
      <c r="G27" s="22"/>
      <c r="H27" s="22"/>
      <c r="I27" s="20"/>
      <c r="J27" s="20"/>
      <c r="K27" s="20"/>
      <c r="L27" s="22"/>
      <c r="M27" s="22"/>
      <c r="N27" s="22"/>
      <c r="O27" s="22"/>
      <c r="P27" s="22"/>
      <c r="Q27" s="22"/>
      <c r="R27" s="22"/>
      <c r="S27" s="20"/>
      <c r="T27" s="20"/>
      <c r="U27" s="20"/>
      <c r="V27" s="22"/>
      <c r="W27" s="20"/>
      <c r="X27" s="22"/>
      <c r="Y27" s="22"/>
      <c r="Z27" s="22"/>
      <c r="AA27" s="22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19"/>
      <c r="BJ27" s="20"/>
      <c r="BK27" s="20"/>
      <c r="BL27" s="23"/>
      <c r="BM27" s="23"/>
      <c r="BN27" s="17"/>
      <c r="BO27" s="17"/>
      <c r="BP27" s="17"/>
      <c r="BQ27" s="17"/>
      <c r="BR27" s="17"/>
      <c r="BS27" s="17"/>
    </row>
    <row r="28" spans="1:80" ht="13.2">
      <c r="A28" s="19"/>
      <c r="B28" s="20"/>
      <c r="C28" s="20"/>
      <c r="D28" s="21"/>
      <c r="E28" s="20"/>
      <c r="F28" s="20"/>
      <c r="G28" s="22"/>
      <c r="H28" s="22"/>
      <c r="I28" s="20"/>
      <c r="J28" s="20"/>
      <c r="K28" s="20"/>
      <c r="L28" s="22"/>
      <c r="M28" s="22"/>
      <c r="N28" s="22"/>
      <c r="O28" s="22"/>
      <c r="P28" s="22"/>
      <c r="Q28" s="22"/>
      <c r="R28" s="22"/>
      <c r="S28" s="20"/>
      <c r="T28" s="20"/>
      <c r="U28" s="20"/>
      <c r="V28" s="22"/>
      <c r="W28" s="20"/>
      <c r="X28" s="22"/>
      <c r="Y28" s="22"/>
      <c r="Z28" s="22"/>
      <c r="AA28" s="22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19"/>
      <c r="BJ28" s="20"/>
      <c r="BK28" s="20"/>
      <c r="BL28" s="23"/>
      <c r="BM28" s="23"/>
      <c r="BN28" s="17"/>
      <c r="BO28" s="17"/>
      <c r="BP28" s="17"/>
      <c r="BQ28" s="17"/>
      <c r="BR28" s="17"/>
      <c r="BS28" s="17"/>
    </row>
    <row r="29" spans="1:80" ht="13.2">
      <c r="A29" s="19"/>
      <c r="B29" s="20"/>
      <c r="C29" s="20"/>
      <c r="D29" s="21"/>
      <c r="E29" s="20"/>
      <c r="F29" s="20"/>
      <c r="G29" s="22"/>
      <c r="H29" s="22"/>
      <c r="I29" s="20"/>
      <c r="J29" s="20"/>
      <c r="K29" s="20"/>
      <c r="L29" s="22"/>
      <c r="M29" s="22"/>
      <c r="N29" s="22"/>
      <c r="O29" s="22"/>
      <c r="P29" s="22"/>
      <c r="Q29" s="22"/>
      <c r="R29" s="22"/>
      <c r="S29" s="20"/>
      <c r="T29" s="20"/>
      <c r="U29" s="20"/>
      <c r="V29" s="22"/>
      <c r="W29" s="20"/>
      <c r="X29" s="22"/>
      <c r="Y29" s="22"/>
      <c r="Z29" s="22"/>
      <c r="AA29" s="22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19"/>
      <c r="BJ29" s="20"/>
      <c r="BK29" s="20"/>
      <c r="BL29" s="23"/>
      <c r="BM29" s="23"/>
      <c r="BN29" s="17"/>
      <c r="BO29" s="17"/>
      <c r="BP29" s="17"/>
      <c r="BQ29" s="17"/>
      <c r="BR29" s="17"/>
      <c r="BS29" s="17"/>
    </row>
    <row r="30" spans="1:80" ht="13.2">
      <c r="A30" s="19"/>
      <c r="B30" s="20"/>
      <c r="C30" s="20"/>
      <c r="D30" s="21"/>
      <c r="E30" s="20"/>
      <c r="F30" s="20"/>
      <c r="G30" s="22"/>
      <c r="H30" s="22"/>
      <c r="I30" s="20"/>
      <c r="J30" s="20"/>
      <c r="K30" s="20"/>
      <c r="L30" s="22"/>
      <c r="M30" s="22"/>
      <c r="N30" s="22"/>
      <c r="O30" s="22"/>
      <c r="P30" s="22"/>
      <c r="Q30" s="22"/>
      <c r="R30" s="22"/>
      <c r="S30" s="20"/>
      <c r="T30" s="20"/>
      <c r="U30" s="20"/>
      <c r="V30" s="22"/>
      <c r="W30" s="20"/>
      <c r="X30" s="22"/>
      <c r="Y30" s="22"/>
      <c r="Z30" s="22"/>
      <c r="AA30" s="22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19"/>
      <c r="BJ30" s="20"/>
      <c r="BK30" s="20"/>
      <c r="BL30" s="23"/>
      <c r="BM30" s="23"/>
      <c r="BN30" s="17"/>
      <c r="BO30" s="17"/>
      <c r="BP30" s="17"/>
      <c r="BQ30" s="17"/>
      <c r="BR30" s="17"/>
      <c r="BS30" s="17"/>
    </row>
    <row r="31" spans="1:80" ht="13.2">
      <c r="A31" s="19"/>
      <c r="B31" s="20"/>
      <c r="C31" s="20"/>
      <c r="D31" s="21"/>
      <c r="E31" s="20"/>
      <c r="F31" s="20"/>
      <c r="G31" s="22"/>
      <c r="H31" s="22"/>
      <c r="I31" s="20"/>
      <c r="J31" s="20"/>
      <c r="K31" s="20"/>
      <c r="L31" s="22"/>
      <c r="M31" s="22"/>
      <c r="N31" s="22"/>
      <c r="O31" s="22"/>
      <c r="P31" s="22"/>
      <c r="Q31" s="22"/>
      <c r="R31" s="22"/>
      <c r="S31" s="20"/>
      <c r="T31" s="20"/>
      <c r="U31" s="20"/>
      <c r="V31" s="22"/>
      <c r="W31" s="20"/>
      <c r="X31" s="22"/>
      <c r="Y31" s="22"/>
      <c r="Z31" s="22"/>
      <c r="AA31" s="22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19"/>
      <c r="BJ31" s="20"/>
      <c r="BK31" s="20"/>
      <c r="BL31" s="23"/>
      <c r="BM31" s="23"/>
      <c r="BN31" s="17"/>
      <c r="BO31" s="17"/>
      <c r="BP31" s="17"/>
      <c r="BQ31" s="17"/>
      <c r="BR31" s="17"/>
      <c r="BS31" s="17"/>
    </row>
    <row r="32" spans="1:80" ht="13.2">
      <c r="A32" s="19"/>
      <c r="B32" s="20"/>
      <c r="C32" s="20"/>
      <c r="D32" s="21"/>
      <c r="E32" s="20"/>
      <c r="F32" s="20"/>
      <c r="G32" s="22"/>
      <c r="H32" s="22"/>
      <c r="I32" s="20"/>
      <c r="J32" s="20"/>
      <c r="K32" s="20"/>
      <c r="L32" s="22"/>
      <c r="M32" s="22"/>
      <c r="N32" s="22"/>
      <c r="O32" s="22"/>
      <c r="P32" s="22"/>
      <c r="Q32" s="22"/>
      <c r="R32" s="22"/>
      <c r="S32" s="20"/>
      <c r="T32" s="20"/>
      <c r="U32" s="20"/>
      <c r="V32" s="22"/>
      <c r="W32" s="20"/>
      <c r="X32" s="22"/>
      <c r="Y32" s="22"/>
      <c r="Z32" s="22"/>
      <c r="AA32" s="22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19"/>
      <c r="BJ32" s="20"/>
      <c r="BK32" s="20"/>
      <c r="BL32" s="23"/>
      <c r="BM32" s="23"/>
      <c r="BN32" s="17"/>
      <c r="BO32" s="17"/>
      <c r="BP32" s="17"/>
      <c r="BQ32" s="17"/>
      <c r="BR32" s="17"/>
      <c r="BS32" s="17"/>
    </row>
    <row r="33" spans="1:71" ht="13.2">
      <c r="A33" s="19"/>
      <c r="B33" s="20"/>
      <c r="C33" s="20"/>
      <c r="D33" s="21"/>
      <c r="E33" s="20"/>
      <c r="F33" s="20"/>
      <c r="G33" s="22"/>
      <c r="H33" s="22"/>
      <c r="I33" s="20"/>
      <c r="J33" s="20"/>
      <c r="K33" s="20"/>
      <c r="L33" s="22"/>
      <c r="M33" s="22"/>
      <c r="N33" s="22"/>
      <c r="O33" s="22"/>
      <c r="P33" s="22"/>
      <c r="Q33" s="22"/>
      <c r="R33" s="22"/>
      <c r="S33" s="20"/>
      <c r="T33" s="20"/>
      <c r="U33" s="20"/>
      <c r="V33" s="22"/>
      <c r="W33" s="20"/>
      <c r="X33" s="22"/>
      <c r="Y33" s="22"/>
      <c r="Z33" s="22"/>
      <c r="AA33" s="22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19"/>
      <c r="BJ33" s="20"/>
      <c r="BK33" s="20"/>
      <c r="BL33" s="23"/>
      <c r="BM33" s="23"/>
      <c r="BN33" s="17"/>
      <c r="BO33" s="17"/>
      <c r="BP33" s="17"/>
      <c r="BQ33" s="17"/>
      <c r="BR33" s="17"/>
      <c r="BS33" s="17"/>
    </row>
    <row r="34" spans="1:71" ht="13.2">
      <c r="A34" s="19"/>
      <c r="B34" s="20"/>
      <c r="C34" s="20"/>
      <c r="D34" s="21"/>
      <c r="E34" s="20"/>
      <c r="F34" s="20"/>
      <c r="G34" s="22"/>
      <c r="H34" s="22"/>
      <c r="I34" s="20"/>
      <c r="J34" s="20"/>
      <c r="K34" s="20"/>
      <c r="L34" s="22"/>
      <c r="M34" s="22"/>
      <c r="N34" s="22"/>
      <c r="O34" s="22"/>
      <c r="P34" s="22"/>
      <c r="Q34" s="22"/>
      <c r="R34" s="22"/>
      <c r="S34" s="20"/>
      <c r="T34" s="20"/>
      <c r="U34" s="20"/>
      <c r="V34" s="22"/>
      <c r="W34" s="20"/>
      <c r="X34" s="22"/>
      <c r="Y34" s="22"/>
      <c r="Z34" s="22"/>
      <c r="AA34" s="22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19"/>
      <c r="BJ34" s="20"/>
      <c r="BK34" s="20"/>
      <c r="BL34" s="23"/>
      <c r="BM34" s="23"/>
      <c r="BN34" s="17"/>
      <c r="BO34" s="17"/>
      <c r="BP34" s="17"/>
      <c r="BQ34" s="17"/>
      <c r="BR34" s="17"/>
      <c r="BS34" s="17"/>
    </row>
    <row r="35" spans="1:71" ht="13.2">
      <c r="A35" s="19"/>
      <c r="B35" s="20"/>
      <c r="C35" s="20"/>
      <c r="D35" s="21"/>
      <c r="E35" s="20"/>
      <c r="F35" s="20"/>
      <c r="G35" s="22"/>
      <c r="H35" s="22"/>
      <c r="I35" s="20"/>
      <c r="J35" s="20"/>
      <c r="K35" s="20"/>
      <c r="L35" s="22"/>
      <c r="M35" s="22"/>
      <c r="N35" s="22"/>
      <c r="O35" s="22"/>
      <c r="P35" s="22"/>
      <c r="Q35" s="22"/>
      <c r="R35" s="22"/>
      <c r="S35" s="20"/>
      <c r="T35" s="20"/>
      <c r="U35" s="20"/>
      <c r="V35" s="22"/>
      <c r="W35" s="20"/>
      <c r="X35" s="22"/>
      <c r="Y35" s="22"/>
      <c r="Z35" s="22"/>
      <c r="AA35" s="22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19"/>
      <c r="BJ35" s="20"/>
      <c r="BK35" s="20"/>
      <c r="BL35" s="23"/>
      <c r="BM35" s="23"/>
      <c r="BN35" s="17"/>
      <c r="BO35" s="17"/>
      <c r="BP35" s="17"/>
      <c r="BQ35" s="17"/>
      <c r="BR35" s="17"/>
      <c r="BS35" s="17"/>
    </row>
    <row r="36" spans="1:71" ht="13.2">
      <c r="A36" s="19"/>
      <c r="B36" s="20"/>
      <c r="C36" s="20"/>
      <c r="D36" s="21"/>
      <c r="E36" s="20"/>
      <c r="F36" s="20"/>
      <c r="G36" s="22"/>
      <c r="H36" s="22"/>
      <c r="I36" s="20"/>
      <c r="J36" s="20"/>
      <c r="K36" s="20"/>
      <c r="L36" s="22"/>
      <c r="M36" s="22"/>
      <c r="N36" s="22"/>
      <c r="O36" s="22"/>
      <c r="P36" s="22"/>
      <c r="Q36" s="22"/>
      <c r="R36" s="22"/>
      <c r="S36" s="20"/>
      <c r="T36" s="20"/>
      <c r="U36" s="20"/>
      <c r="V36" s="22"/>
      <c r="W36" s="20"/>
      <c r="X36" s="22"/>
      <c r="Y36" s="22"/>
      <c r="Z36" s="22"/>
      <c r="AA36" s="22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19"/>
      <c r="BJ36" s="20"/>
      <c r="BK36" s="20"/>
      <c r="BL36" s="23"/>
      <c r="BM36" s="23"/>
      <c r="BN36" s="17"/>
      <c r="BO36" s="17"/>
      <c r="BP36" s="17"/>
      <c r="BQ36" s="17"/>
      <c r="BR36" s="17"/>
      <c r="BS36" s="17"/>
    </row>
    <row r="37" spans="1:71" ht="13.2">
      <c r="A37" s="19"/>
      <c r="B37" s="20"/>
      <c r="C37" s="20"/>
      <c r="D37" s="21"/>
      <c r="E37" s="20"/>
      <c r="F37" s="20"/>
      <c r="G37" s="22"/>
      <c r="H37" s="22"/>
      <c r="I37" s="20"/>
      <c r="J37" s="20"/>
      <c r="K37" s="20"/>
      <c r="L37" s="22"/>
      <c r="M37" s="22"/>
      <c r="N37" s="22"/>
      <c r="O37" s="22"/>
      <c r="P37" s="22"/>
      <c r="Q37" s="22"/>
      <c r="R37" s="22"/>
      <c r="S37" s="20"/>
      <c r="T37" s="20"/>
      <c r="U37" s="20"/>
      <c r="V37" s="22"/>
      <c r="W37" s="20"/>
      <c r="X37" s="22"/>
      <c r="Y37" s="22"/>
      <c r="Z37" s="22"/>
      <c r="AA37" s="22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19"/>
      <c r="BJ37" s="20"/>
      <c r="BK37" s="20"/>
      <c r="BL37" s="23"/>
      <c r="BM37" s="23"/>
      <c r="BN37" s="17"/>
      <c r="BO37" s="17"/>
      <c r="BP37" s="17"/>
      <c r="BQ37" s="17"/>
      <c r="BR37" s="17"/>
      <c r="BS37" s="17"/>
    </row>
    <row r="38" spans="1:71" ht="13.2">
      <c r="A38" s="19"/>
      <c r="B38" s="20"/>
      <c r="C38" s="20"/>
      <c r="D38" s="21"/>
      <c r="E38" s="20"/>
      <c r="F38" s="20"/>
      <c r="G38" s="22"/>
      <c r="H38" s="22"/>
      <c r="I38" s="20"/>
      <c r="J38" s="20"/>
      <c r="K38" s="20"/>
      <c r="L38" s="22"/>
      <c r="M38" s="22"/>
      <c r="N38" s="22"/>
      <c r="O38" s="22"/>
      <c r="P38" s="22"/>
      <c r="Q38" s="22"/>
      <c r="R38" s="22"/>
      <c r="S38" s="20"/>
      <c r="T38" s="20"/>
      <c r="U38" s="20"/>
      <c r="V38" s="22"/>
      <c r="W38" s="20"/>
      <c r="X38" s="22"/>
      <c r="Y38" s="22"/>
      <c r="Z38" s="22"/>
      <c r="AA38" s="22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19"/>
      <c r="BJ38" s="20"/>
      <c r="BK38" s="20"/>
      <c r="BL38" s="23"/>
      <c r="BM38" s="23"/>
      <c r="BN38" s="17"/>
      <c r="BO38" s="17"/>
      <c r="BP38" s="17"/>
      <c r="BQ38" s="17"/>
      <c r="BR38" s="17"/>
      <c r="BS38" s="17"/>
    </row>
    <row r="39" spans="1:71" ht="13.2">
      <c r="A39" s="19"/>
      <c r="B39" s="20"/>
      <c r="C39" s="20"/>
      <c r="D39" s="21"/>
      <c r="E39" s="20"/>
      <c r="F39" s="20"/>
      <c r="G39" s="22"/>
      <c r="H39" s="22"/>
      <c r="I39" s="20"/>
      <c r="J39" s="20"/>
      <c r="K39" s="20"/>
      <c r="L39" s="22"/>
      <c r="M39" s="22"/>
      <c r="N39" s="22"/>
      <c r="O39" s="22"/>
      <c r="P39" s="22"/>
      <c r="Q39" s="22"/>
      <c r="R39" s="22"/>
      <c r="S39" s="20"/>
      <c r="T39" s="20"/>
      <c r="U39" s="20"/>
      <c r="V39" s="22"/>
      <c r="W39" s="20"/>
      <c r="X39" s="22"/>
      <c r="Y39" s="22"/>
      <c r="Z39" s="22"/>
      <c r="AA39" s="22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19"/>
      <c r="BJ39" s="20"/>
      <c r="BK39" s="20"/>
      <c r="BL39" s="23"/>
      <c r="BM39" s="23"/>
      <c r="BN39" s="17"/>
      <c r="BO39" s="17"/>
      <c r="BP39" s="17"/>
      <c r="BQ39" s="17"/>
      <c r="BR39" s="17"/>
      <c r="BS39" s="17"/>
    </row>
    <row r="40" spans="1:71" ht="13.2">
      <c r="A40" s="19"/>
      <c r="B40" s="20"/>
      <c r="C40" s="20"/>
      <c r="D40" s="21"/>
      <c r="E40" s="20"/>
      <c r="F40" s="20"/>
      <c r="G40" s="22"/>
      <c r="H40" s="22"/>
      <c r="I40" s="20"/>
      <c r="J40" s="20"/>
      <c r="K40" s="20"/>
      <c r="L40" s="22"/>
      <c r="M40" s="22"/>
      <c r="N40" s="22"/>
      <c r="O40" s="22"/>
      <c r="P40" s="22"/>
      <c r="Q40" s="22"/>
      <c r="R40" s="22"/>
      <c r="S40" s="20"/>
      <c r="T40" s="20"/>
      <c r="U40" s="20"/>
      <c r="V40" s="22"/>
      <c r="W40" s="20"/>
      <c r="X40" s="22"/>
      <c r="Y40" s="22"/>
      <c r="Z40" s="22"/>
      <c r="AA40" s="22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19"/>
      <c r="BJ40" s="20"/>
      <c r="BK40" s="20"/>
      <c r="BL40" s="23"/>
      <c r="BM40" s="23"/>
      <c r="BN40" s="17"/>
      <c r="BO40" s="17"/>
      <c r="BP40" s="17"/>
      <c r="BQ40" s="17"/>
      <c r="BR40" s="17"/>
      <c r="BS40" s="17"/>
    </row>
    <row r="41" spans="1:71" ht="13.2">
      <c r="A41" s="19"/>
      <c r="B41" s="20"/>
      <c r="C41" s="20"/>
      <c r="D41" s="21"/>
      <c r="E41" s="20"/>
      <c r="F41" s="20"/>
      <c r="G41" s="22"/>
      <c r="H41" s="22"/>
      <c r="I41" s="20"/>
      <c r="J41" s="20"/>
      <c r="K41" s="20"/>
      <c r="L41" s="22"/>
      <c r="M41" s="22"/>
      <c r="N41" s="22"/>
      <c r="O41" s="22"/>
      <c r="P41" s="22"/>
      <c r="Q41" s="22"/>
      <c r="R41" s="22"/>
      <c r="S41" s="20"/>
      <c r="T41" s="20"/>
      <c r="U41" s="20"/>
      <c r="V41" s="22"/>
      <c r="W41" s="20"/>
      <c r="X41" s="22"/>
      <c r="Y41" s="22"/>
      <c r="Z41" s="22"/>
      <c r="AA41" s="22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19"/>
      <c r="BJ41" s="20"/>
      <c r="BK41" s="20"/>
      <c r="BL41" s="23"/>
      <c r="BM41" s="23"/>
      <c r="BN41" s="17"/>
      <c r="BO41" s="17"/>
      <c r="BP41" s="17"/>
      <c r="BQ41" s="17"/>
      <c r="BR41" s="17"/>
      <c r="BS41" s="17"/>
    </row>
    <row r="42" spans="1:71" ht="13.2">
      <c r="A42" s="19"/>
      <c r="B42" s="20"/>
      <c r="C42" s="20"/>
      <c r="D42" s="21"/>
      <c r="E42" s="20"/>
      <c r="F42" s="20"/>
      <c r="G42" s="22"/>
      <c r="H42" s="22"/>
      <c r="I42" s="20"/>
      <c r="J42" s="20"/>
      <c r="K42" s="20"/>
      <c r="L42" s="22"/>
      <c r="M42" s="22"/>
      <c r="N42" s="22"/>
      <c r="O42" s="22"/>
      <c r="P42" s="22"/>
      <c r="Q42" s="22"/>
      <c r="R42" s="22"/>
      <c r="S42" s="20"/>
      <c r="T42" s="20"/>
      <c r="U42" s="20"/>
      <c r="V42" s="22"/>
      <c r="W42" s="20"/>
      <c r="X42" s="22"/>
      <c r="Y42" s="22"/>
      <c r="Z42" s="22"/>
      <c r="AA42" s="22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19"/>
      <c r="BJ42" s="20"/>
      <c r="BK42" s="20"/>
      <c r="BL42" s="23"/>
      <c r="BM42" s="23"/>
      <c r="BN42" s="17"/>
      <c r="BO42" s="17"/>
      <c r="BP42" s="17"/>
      <c r="BQ42" s="17"/>
      <c r="BR42" s="17"/>
      <c r="BS42" s="17"/>
    </row>
    <row r="43" spans="1:71" ht="13.2">
      <c r="A43" s="19"/>
      <c r="B43" s="20"/>
      <c r="C43" s="20"/>
      <c r="D43" s="21"/>
      <c r="E43" s="20"/>
      <c r="F43" s="20"/>
      <c r="G43" s="22"/>
      <c r="H43" s="22"/>
      <c r="I43" s="20"/>
      <c r="J43" s="20"/>
      <c r="K43" s="20"/>
      <c r="L43" s="22"/>
      <c r="M43" s="22"/>
      <c r="N43" s="22"/>
      <c r="O43" s="22"/>
      <c r="P43" s="22"/>
      <c r="Q43" s="22"/>
      <c r="R43" s="22"/>
      <c r="S43" s="20"/>
      <c r="T43" s="20"/>
      <c r="U43" s="20"/>
      <c r="V43" s="22"/>
      <c r="W43" s="20"/>
      <c r="X43" s="22"/>
      <c r="Y43" s="22"/>
      <c r="Z43" s="22"/>
      <c r="AA43" s="22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19"/>
      <c r="BJ43" s="20"/>
      <c r="BK43" s="20"/>
      <c r="BL43" s="23"/>
      <c r="BM43" s="23"/>
      <c r="BN43" s="17"/>
      <c r="BO43" s="17"/>
      <c r="BP43" s="17"/>
      <c r="BQ43" s="17"/>
      <c r="BR43" s="17"/>
      <c r="BS43" s="17"/>
    </row>
    <row r="44" spans="1:71" ht="13.2">
      <c r="A44" s="19"/>
      <c r="B44" s="20"/>
      <c r="C44" s="20"/>
      <c r="D44" s="21"/>
      <c r="E44" s="20"/>
      <c r="F44" s="20"/>
      <c r="G44" s="22"/>
      <c r="H44" s="22"/>
      <c r="I44" s="20"/>
      <c r="J44" s="20"/>
      <c r="K44" s="20"/>
      <c r="L44" s="22"/>
      <c r="M44" s="22"/>
      <c r="N44" s="22"/>
      <c r="O44" s="22"/>
      <c r="P44" s="22"/>
      <c r="Q44" s="22"/>
      <c r="R44" s="22"/>
      <c r="S44" s="20"/>
      <c r="T44" s="20"/>
      <c r="U44" s="20"/>
      <c r="V44" s="22"/>
      <c r="W44" s="20"/>
      <c r="X44" s="22"/>
      <c r="Y44" s="22"/>
      <c r="Z44" s="22"/>
      <c r="AA44" s="22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19"/>
      <c r="BJ44" s="20"/>
      <c r="BK44" s="20"/>
      <c r="BL44" s="23"/>
      <c r="BM44" s="23"/>
      <c r="BN44" s="17"/>
      <c r="BO44" s="17"/>
      <c r="BP44" s="17"/>
      <c r="BQ44" s="17"/>
      <c r="BR44" s="17"/>
      <c r="BS44" s="17"/>
    </row>
    <row r="45" spans="1:71" ht="13.2">
      <c r="A45" s="19"/>
      <c r="B45" s="20"/>
      <c r="C45" s="20"/>
      <c r="D45" s="21"/>
      <c r="E45" s="20"/>
      <c r="F45" s="20"/>
      <c r="G45" s="22"/>
      <c r="H45" s="22"/>
      <c r="I45" s="20"/>
      <c r="J45" s="20"/>
      <c r="K45" s="20"/>
      <c r="L45" s="22"/>
      <c r="M45" s="22"/>
      <c r="N45" s="22"/>
      <c r="O45" s="22"/>
      <c r="P45" s="22"/>
      <c r="Q45" s="22"/>
      <c r="R45" s="22"/>
      <c r="S45" s="20"/>
      <c r="T45" s="20"/>
      <c r="U45" s="20"/>
      <c r="V45" s="22"/>
      <c r="W45" s="20"/>
      <c r="X45" s="22"/>
      <c r="Y45" s="22"/>
      <c r="Z45" s="22"/>
      <c r="AA45" s="22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19"/>
      <c r="BJ45" s="20"/>
      <c r="BK45" s="20"/>
      <c r="BL45" s="23"/>
      <c r="BM45" s="23"/>
      <c r="BN45" s="17"/>
      <c r="BO45" s="17"/>
      <c r="BP45" s="17"/>
      <c r="BQ45" s="17"/>
      <c r="BR45" s="17"/>
      <c r="BS45" s="17"/>
    </row>
    <row r="46" spans="1:71" ht="13.2">
      <c r="A46" s="19"/>
      <c r="B46" s="20"/>
      <c r="C46" s="20"/>
      <c r="D46" s="21"/>
      <c r="E46" s="20"/>
      <c r="F46" s="20"/>
      <c r="G46" s="22"/>
      <c r="H46" s="22"/>
      <c r="I46" s="20"/>
      <c r="J46" s="20"/>
      <c r="K46" s="20"/>
      <c r="L46" s="22"/>
      <c r="M46" s="22"/>
      <c r="N46" s="22"/>
      <c r="O46" s="22"/>
      <c r="P46" s="22"/>
      <c r="Q46" s="22"/>
      <c r="R46" s="22"/>
      <c r="S46" s="20"/>
      <c r="T46" s="20"/>
      <c r="U46" s="20"/>
      <c r="V46" s="22"/>
      <c r="W46" s="20"/>
      <c r="X46" s="22"/>
      <c r="Y46" s="22"/>
      <c r="Z46" s="22"/>
      <c r="AA46" s="22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19"/>
      <c r="BJ46" s="20"/>
      <c r="BK46" s="20"/>
      <c r="BL46" s="23"/>
      <c r="BM46" s="23"/>
      <c r="BN46" s="17"/>
      <c r="BO46" s="17"/>
      <c r="BP46" s="17"/>
      <c r="BQ46" s="17"/>
      <c r="BR46" s="17"/>
      <c r="BS46" s="17"/>
    </row>
    <row r="47" spans="1:71" ht="13.2">
      <c r="A47" s="19"/>
      <c r="B47" s="20"/>
      <c r="C47" s="20"/>
      <c r="D47" s="21"/>
      <c r="E47" s="20"/>
      <c r="F47" s="20"/>
      <c r="G47" s="22"/>
      <c r="H47" s="22"/>
      <c r="I47" s="20"/>
      <c r="J47" s="20"/>
      <c r="K47" s="20"/>
      <c r="L47" s="22"/>
      <c r="M47" s="22"/>
      <c r="N47" s="22"/>
      <c r="O47" s="22"/>
      <c r="P47" s="22"/>
      <c r="Q47" s="22"/>
      <c r="R47" s="22"/>
      <c r="S47" s="20"/>
      <c r="T47" s="20"/>
      <c r="U47" s="20"/>
      <c r="V47" s="22"/>
      <c r="W47" s="20"/>
      <c r="X47" s="22"/>
      <c r="Y47" s="22"/>
      <c r="Z47" s="22"/>
      <c r="AA47" s="22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19"/>
      <c r="BJ47" s="20"/>
      <c r="BK47" s="20"/>
      <c r="BL47" s="23"/>
      <c r="BM47" s="23"/>
      <c r="BN47" s="17"/>
      <c r="BO47" s="17"/>
      <c r="BP47" s="17"/>
      <c r="BQ47" s="17"/>
      <c r="BR47" s="17"/>
      <c r="BS47" s="17"/>
    </row>
    <row r="48" spans="1:71" ht="13.2">
      <c r="A48" s="19"/>
      <c r="B48" s="20"/>
      <c r="C48" s="20"/>
      <c r="D48" s="21"/>
      <c r="E48" s="20"/>
      <c r="F48" s="20"/>
      <c r="G48" s="22"/>
      <c r="H48" s="22"/>
      <c r="I48" s="20"/>
      <c r="J48" s="20"/>
      <c r="K48" s="20"/>
      <c r="L48" s="22"/>
      <c r="M48" s="22"/>
      <c r="N48" s="22"/>
      <c r="O48" s="22"/>
      <c r="P48" s="22"/>
      <c r="Q48" s="22"/>
      <c r="R48" s="22"/>
      <c r="S48" s="20"/>
      <c r="T48" s="20"/>
      <c r="U48" s="20"/>
      <c r="V48" s="22"/>
      <c r="W48" s="20"/>
      <c r="X48" s="22"/>
      <c r="Y48" s="22"/>
      <c r="Z48" s="22"/>
      <c r="AA48" s="22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19"/>
      <c r="BJ48" s="20"/>
      <c r="BK48" s="20"/>
      <c r="BL48" s="23"/>
      <c r="BM48" s="23"/>
      <c r="BN48" s="17"/>
      <c r="BO48" s="17"/>
      <c r="BP48" s="17"/>
      <c r="BQ48" s="17"/>
      <c r="BR48" s="17"/>
      <c r="BS48" s="17"/>
    </row>
    <row r="49" spans="1:71" ht="13.2">
      <c r="A49" s="19"/>
      <c r="B49" s="20"/>
      <c r="C49" s="20"/>
      <c r="D49" s="21"/>
      <c r="E49" s="20"/>
      <c r="F49" s="20"/>
      <c r="G49" s="22"/>
      <c r="H49" s="22"/>
      <c r="I49" s="20"/>
      <c r="J49" s="20"/>
      <c r="K49" s="20"/>
      <c r="L49" s="22"/>
      <c r="M49" s="22"/>
      <c r="N49" s="22"/>
      <c r="O49" s="22"/>
      <c r="P49" s="22"/>
      <c r="Q49" s="22"/>
      <c r="R49" s="22"/>
      <c r="S49" s="20"/>
      <c r="T49" s="20"/>
      <c r="U49" s="20"/>
      <c r="V49" s="22"/>
      <c r="W49" s="20"/>
      <c r="X49" s="22"/>
      <c r="Y49" s="22"/>
      <c r="Z49" s="22"/>
      <c r="AA49" s="22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19"/>
      <c r="BJ49" s="20"/>
      <c r="BK49" s="20"/>
      <c r="BL49" s="23"/>
      <c r="BM49" s="23"/>
      <c r="BN49" s="17"/>
      <c r="BO49" s="17"/>
      <c r="BP49" s="17"/>
      <c r="BQ49" s="17"/>
      <c r="BR49" s="17"/>
      <c r="BS49" s="17"/>
    </row>
    <row r="50" spans="1:71" ht="13.2">
      <c r="A50" s="19"/>
      <c r="B50" s="20"/>
      <c r="C50" s="20"/>
      <c r="D50" s="21"/>
      <c r="E50" s="20"/>
      <c r="F50" s="20"/>
      <c r="G50" s="22"/>
      <c r="H50" s="22"/>
      <c r="I50" s="20"/>
      <c r="J50" s="20"/>
      <c r="K50" s="20"/>
      <c r="L50" s="22"/>
      <c r="M50" s="22"/>
      <c r="N50" s="22"/>
      <c r="O50" s="22"/>
      <c r="P50" s="22"/>
      <c r="Q50" s="22"/>
      <c r="R50" s="22"/>
      <c r="S50" s="20"/>
      <c r="T50" s="20"/>
      <c r="U50" s="20"/>
      <c r="V50" s="22"/>
      <c r="W50" s="20"/>
      <c r="X50" s="22"/>
      <c r="Y50" s="22"/>
      <c r="Z50" s="22"/>
      <c r="AA50" s="22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19"/>
      <c r="BJ50" s="20"/>
      <c r="BK50" s="20"/>
      <c r="BL50" s="23"/>
      <c r="BM50" s="23"/>
      <c r="BN50" s="17"/>
      <c r="BO50" s="17"/>
      <c r="BP50" s="17"/>
      <c r="BQ50" s="17"/>
      <c r="BR50" s="17"/>
      <c r="BS50" s="17"/>
    </row>
    <row r="51" spans="1:71" ht="13.2">
      <c r="A51" s="19"/>
      <c r="B51" s="20"/>
      <c r="C51" s="20"/>
      <c r="D51" s="21"/>
      <c r="E51" s="20"/>
      <c r="F51" s="20"/>
      <c r="G51" s="22"/>
      <c r="H51" s="22"/>
      <c r="I51" s="20"/>
      <c r="J51" s="20"/>
      <c r="K51" s="20"/>
      <c r="L51" s="22"/>
      <c r="M51" s="22"/>
      <c r="N51" s="22"/>
      <c r="O51" s="22"/>
      <c r="P51" s="22"/>
      <c r="Q51" s="22"/>
      <c r="R51" s="22"/>
      <c r="S51" s="20"/>
      <c r="T51" s="20"/>
      <c r="U51" s="20"/>
      <c r="V51" s="22"/>
      <c r="W51" s="20"/>
      <c r="X51" s="22"/>
      <c r="Y51" s="22"/>
      <c r="Z51" s="22"/>
      <c r="AA51" s="22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19"/>
      <c r="BJ51" s="20"/>
      <c r="BK51" s="20"/>
      <c r="BL51" s="23"/>
      <c r="BM51" s="23"/>
      <c r="BN51" s="17"/>
      <c r="BO51" s="17"/>
      <c r="BP51" s="17"/>
      <c r="BQ51" s="17"/>
      <c r="BR51" s="17"/>
      <c r="BS51" s="17"/>
    </row>
    <row r="52" spans="1:71" ht="13.2">
      <c r="A52" s="19"/>
      <c r="B52" s="20"/>
      <c r="C52" s="20"/>
      <c r="D52" s="21"/>
      <c r="E52" s="20"/>
      <c r="F52" s="20"/>
      <c r="G52" s="22"/>
      <c r="H52" s="22"/>
      <c r="I52" s="20"/>
      <c r="J52" s="20"/>
      <c r="K52" s="20"/>
      <c r="L52" s="22"/>
      <c r="M52" s="22"/>
      <c r="N52" s="22"/>
      <c r="O52" s="22"/>
      <c r="P52" s="22"/>
      <c r="Q52" s="22"/>
      <c r="R52" s="22"/>
      <c r="S52" s="20"/>
      <c r="T52" s="20"/>
      <c r="U52" s="20"/>
      <c r="V52" s="22"/>
      <c r="W52" s="20"/>
      <c r="X52" s="22"/>
      <c r="Y52" s="22"/>
      <c r="Z52" s="22"/>
      <c r="AA52" s="22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19"/>
      <c r="BJ52" s="20"/>
      <c r="BK52" s="20"/>
      <c r="BL52" s="23"/>
      <c r="BM52" s="23"/>
      <c r="BN52" s="17"/>
      <c r="BO52" s="17"/>
      <c r="BP52" s="17"/>
      <c r="BQ52" s="17"/>
      <c r="BR52" s="17"/>
      <c r="BS52" s="17"/>
    </row>
    <row r="53" spans="1:71" ht="13.2">
      <c r="A53" s="19"/>
      <c r="B53" s="20"/>
      <c r="C53" s="20"/>
      <c r="D53" s="21"/>
      <c r="E53" s="20"/>
      <c r="F53" s="20"/>
      <c r="G53" s="22"/>
      <c r="H53" s="22"/>
      <c r="I53" s="20"/>
      <c r="J53" s="20"/>
      <c r="K53" s="20"/>
      <c r="L53" s="22"/>
      <c r="M53" s="22"/>
      <c r="N53" s="22"/>
      <c r="O53" s="22"/>
      <c r="P53" s="22"/>
      <c r="Q53" s="22"/>
      <c r="R53" s="22"/>
      <c r="S53" s="20"/>
      <c r="T53" s="20"/>
      <c r="U53" s="20"/>
      <c r="V53" s="22"/>
      <c r="W53" s="20"/>
      <c r="X53" s="22"/>
      <c r="Y53" s="22"/>
      <c r="Z53" s="22"/>
      <c r="AA53" s="22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19"/>
      <c r="BJ53" s="20"/>
      <c r="BK53" s="20"/>
      <c r="BL53" s="23"/>
      <c r="BM53" s="23"/>
      <c r="BN53" s="17"/>
      <c r="BO53" s="17"/>
      <c r="BP53" s="17"/>
      <c r="BQ53" s="17"/>
      <c r="BR53" s="17"/>
      <c r="BS53" s="17"/>
    </row>
    <row r="54" spans="1:71" ht="13.2">
      <c r="A54" s="19"/>
      <c r="B54" s="20"/>
      <c r="C54" s="20"/>
      <c r="D54" s="21"/>
      <c r="E54" s="20"/>
      <c r="F54" s="20"/>
      <c r="G54" s="22"/>
      <c r="H54" s="22"/>
      <c r="I54" s="20"/>
      <c r="J54" s="20"/>
      <c r="K54" s="20"/>
      <c r="L54" s="22"/>
      <c r="M54" s="22"/>
      <c r="N54" s="22"/>
      <c r="O54" s="22"/>
      <c r="P54" s="22"/>
      <c r="Q54" s="22"/>
      <c r="R54" s="22"/>
      <c r="S54" s="20"/>
      <c r="T54" s="20"/>
      <c r="U54" s="20"/>
      <c r="V54" s="22"/>
      <c r="W54" s="20"/>
      <c r="X54" s="22"/>
      <c r="Y54" s="22"/>
      <c r="Z54" s="22"/>
      <c r="AA54" s="22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19"/>
      <c r="BJ54" s="20"/>
      <c r="BK54" s="20"/>
      <c r="BL54" s="23"/>
      <c r="BM54" s="23"/>
      <c r="BN54" s="17"/>
      <c r="BO54" s="17"/>
      <c r="BP54" s="17"/>
      <c r="BQ54" s="17"/>
      <c r="BR54" s="17"/>
      <c r="BS54" s="17"/>
    </row>
    <row r="55" spans="1:71" ht="13.2">
      <c r="A55" s="19"/>
      <c r="B55" s="20"/>
      <c r="C55" s="20"/>
      <c r="D55" s="21"/>
      <c r="E55" s="20"/>
      <c r="F55" s="20"/>
      <c r="G55" s="22"/>
      <c r="H55" s="22"/>
      <c r="I55" s="20"/>
      <c r="J55" s="20"/>
      <c r="K55" s="20"/>
      <c r="L55" s="22"/>
      <c r="M55" s="22"/>
      <c r="N55" s="22"/>
      <c r="O55" s="22"/>
      <c r="P55" s="22"/>
      <c r="Q55" s="22"/>
      <c r="R55" s="22"/>
      <c r="S55" s="20"/>
      <c r="T55" s="20"/>
      <c r="U55" s="20"/>
      <c r="V55" s="22"/>
      <c r="W55" s="20"/>
      <c r="X55" s="22"/>
      <c r="Y55" s="22"/>
      <c r="Z55" s="22"/>
      <c r="AA55" s="22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19"/>
      <c r="BJ55" s="20"/>
      <c r="BK55" s="20"/>
      <c r="BL55" s="23"/>
      <c r="BM55" s="23"/>
      <c r="BN55" s="17"/>
      <c r="BO55" s="17"/>
      <c r="BP55" s="17"/>
      <c r="BQ55" s="17"/>
      <c r="BR55" s="17"/>
      <c r="BS55" s="17"/>
    </row>
    <row r="56" spans="1:71" ht="13.2">
      <c r="A56" s="19"/>
      <c r="B56" s="20"/>
      <c r="C56" s="20"/>
      <c r="D56" s="21"/>
      <c r="E56" s="20"/>
      <c r="F56" s="20"/>
      <c r="G56" s="22"/>
      <c r="H56" s="22"/>
      <c r="I56" s="20"/>
      <c r="J56" s="20"/>
      <c r="K56" s="20"/>
      <c r="L56" s="22"/>
      <c r="M56" s="22"/>
      <c r="N56" s="22"/>
      <c r="O56" s="22"/>
      <c r="P56" s="22"/>
      <c r="Q56" s="22"/>
      <c r="R56" s="22"/>
      <c r="S56" s="20"/>
      <c r="T56" s="20"/>
      <c r="U56" s="20"/>
      <c r="V56" s="22"/>
      <c r="W56" s="20"/>
      <c r="X56" s="22"/>
      <c r="Y56" s="22"/>
      <c r="Z56" s="22"/>
      <c r="AA56" s="22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19"/>
      <c r="BJ56" s="20"/>
      <c r="BK56" s="20"/>
      <c r="BL56" s="23"/>
      <c r="BM56" s="23"/>
      <c r="BN56" s="17"/>
      <c r="BO56" s="17"/>
      <c r="BP56" s="17"/>
      <c r="BQ56" s="17"/>
      <c r="BR56" s="17"/>
      <c r="BS56" s="17"/>
    </row>
    <row r="57" spans="1:71" ht="13.2">
      <c r="A57" s="19"/>
      <c r="B57" s="20"/>
      <c r="C57" s="20"/>
      <c r="D57" s="21"/>
      <c r="E57" s="20"/>
      <c r="F57" s="20"/>
      <c r="G57" s="22"/>
      <c r="H57" s="22"/>
      <c r="I57" s="20"/>
      <c r="J57" s="20"/>
      <c r="K57" s="20"/>
      <c r="L57" s="22"/>
      <c r="M57" s="22"/>
      <c r="N57" s="22"/>
      <c r="O57" s="22"/>
      <c r="P57" s="22"/>
      <c r="Q57" s="22"/>
      <c r="R57" s="22"/>
      <c r="S57" s="20"/>
      <c r="T57" s="20"/>
      <c r="U57" s="20"/>
      <c r="V57" s="22"/>
      <c r="W57" s="20"/>
      <c r="X57" s="22"/>
      <c r="Y57" s="22"/>
      <c r="Z57" s="22"/>
      <c r="AA57" s="22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19"/>
      <c r="BJ57" s="20"/>
      <c r="BK57" s="20"/>
      <c r="BL57" s="23"/>
      <c r="BM57" s="23"/>
      <c r="BN57" s="17"/>
      <c r="BO57" s="17"/>
      <c r="BP57" s="17"/>
      <c r="BQ57" s="17"/>
      <c r="BR57" s="17"/>
      <c r="BS57" s="17"/>
    </row>
    <row r="58" spans="1:71" ht="13.2">
      <c r="A58" s="19"/>
      <c r="B58" s="20"/>
      <c r="C58" s="20"/>
      <c r="D58" s="21"/>
      <c r="E58" s="20"/>
      <c r="F58" s="20"/>
      <c r="G58" s="22"/>
      <c r="H58" s="22"/>
      <c r="I58" s="20"/>
      <c r="J58" s="20"/>
      <c r="K58" s="20"/>
      <c r="L58" s="22"/>
      <c r="M58" s="22"/>
      <c r="N58" s="22"/>
      <c r="O58" s="22"/>
      <c r="P58" s="22"/>
      <c r="Q58" s="22"/>
      <c r="R58" s="22"/>
      <c r="S58" s="20"/>
      <c r="T58" s="20"/>
      <c r="U58" s="20"/>
      <c r="V58" s="22"/>
      <c r="W58" s="20"/>
      <c r="X58" s="22"/>
      <c r="Y58" s="22"/>
      <c r="Z58" s="22"/>
      <c r="AA58" s="22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19"/>
      <c r="BJ58" s="20"/>
      <c r="BK58" s="20"/>
      <c r="BL58" s="23"/>
      <c r="BM58" s="23"/>
      <c r="BN58" s="17"/>
      <c r="BO58" s="17"/>
      <c r="BP58" s="17"/>
      <c r="BQ58" s="17"/>
      <c r="BR58" s="17"/>
      <c r="BS58" s="17"/>
    </row>
    <row r="59" spans="1:71" ht="13.2">
      <c r="A59" s="19"/>
      <c r="B59" s="20"/>
      <c r="C59" s="20"/>
      <c r="D59" s="21"/>
      <c r="E59" s="20"/>
      <c r="F59" s="20"/>
      <c r="G59" s="22"/>
      <c r="H59" s="22"/>
      <c r="I59" s="20"/>
      <c r="J59" s="20"/>
      <c r="K59" s="20"/>
      <c r="L59" s="22"/>
      <c r="M59" s="22"/>
      <c r="N59" s="22"/>
      <c r="O59" s="22"/>
      <c r="P59" s="22"/>
      <c r="Q59" s="22"/>
      <c r="R59" s="22"/>
      <c r="S59" s="20"/>
      <c r="T59" s="20"/>
      <c r="U59" s="20"/>
      <c r="V59" s="22"/>
      <c r="W59" s="20"/>
      <c r="X59" s="22"/>
      <c r="Y59" s="22"/>
      <c r="Z59" s="22"/>
      <c r="AA59" s="22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19"/>
      <c r="BJ59" s="20"/>
      <c r="BK59" s="20"/>
      <c r="BL59" s="23"/>
      <c r="BM59" s="23"/>
      <c r="BN59" s="17"/>
      <c r="BO59" s="17"/>
      <c r="BP59" s="17"/>
      <c r="BQ59" s="17"/>
      <c r="BR59" s="17"/>
      <c r="BS59" s="17"/>
    </row>
    <row r="60" spans="1:71" ht="13.2">
      <c r="A60" s="19"/>
      <c r="B60" s="20"/>
      <c r="C60" s="20"/>
      <c r="D60" s="21"/>
      <c r="E60" s="20"/>
      <c r="F60" s="20"/>
      <c r="G60" s="22"/>
      <c r="H60" s="22"/>
      <c r="I60" s="20"/>
      <c r="J60" s="20"/>
      <c r="K60" s="20"/>
      <c r="L60" s="22"/>
      <c r="M60" s="22"/>
      <c r="N60" s="22"/>
      <c r="O60" s="22"/>
      <c r="P60" s="22"/>
      <c r="Q60" s="22"/>
      <c r="R60" s="22"/>
      <c r="S60" s="20"/>
      <c r="T60" s="20"/>
      <c r="U60" s="20"/>
      <c r="V60" s="22"/>
      <c r="W60" s="20"/>
      <c r="X60" s="22"/>
      <c r="Y60" s="22"/>
      <c r="Z60" s="22"/>
      <c r="AA60" s="22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19"/>
      <c r="BJ60" s="20"/>
      <c r="BK60" s="20"/>
      <c r="BL60" s="23"/>
      <c r="BM60" s="23"/>
      <c r="BN60" s="17"/>
      <c r="BO60" s="17"/>
      <c r="BP60" s="17"/>
      <c r="BQ60" s="17"/>
      <c r="BR60" s="17"/>
      <c r="BS60" s="17"/>
    </row>
    <row r="61" spans="1:71" ht="13.2">
      <c r="A61" s="19"/>
      <c r="B61" s="20"/>
      <c r="C61" s="20"/>
      <c r="D61" s="21"/>
      <c r="E61" s="20"/>
      <c r="F61" s="20"/>
      <c r="G61" s="22"/>
      <c r="H61" s="22"/>
      <c r="I61" s="20"/>
      <c r="J61" s="20"/>
      <c r="K61" s="20"/>
      <c r="L61" s="22"/>
      <c r="M61" s="22"/>
      <c r="N61" s="22"/>
      <c r="O61" s="22"/>
      <c r="P61" s="22"/>
      <c r="Q61" s="22"/>
      <c r="R61" s="22"/>
      <c r="S61" s="20"/>
      <c r="T61" s="20"/>
      <c r="U61" s="20"/>
      <c r="V61" s="22"/>
      <c r="W61" s="20"/>
      <c r="X61" s="22"/>
      <c r="Y61" s="22"/>
      <c r="Z61" s="22"/>
      <c r="AA61" s="22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19"/>
      <c r="BJ61" s="20"/>
      <c r="BK61" s="20"/>
      <c r="BL61" s="23"/>
      <c r="BM61" s="23"/>
      <c r="BN61" s="17"/>
      <c r="BO61" s="17"/>
      <c r="BP61" s="17"/>
      <c r="BQ61" s="17"/>
      <c r="BR61" s="17"/>
      <c r="BS61" s="17"/>
    </row>
    <row r="62" spans="1:71" ht="13.2">
      <c r="A62" s="19"/>
      <c r="B62" s="20"/>
      <c r="C62" s="20"/>
      <c r="D62" s="21"/>
      <c r="E62" s="20"/>
      <c r="F62" s="20"/>
      <c r="G62" s="22"/>
      <c r="H62" s="22"/>
      <c r="I62" s="20"/>
      <c r="J62" s="20"/>
      <c r="K62" s="20"/>
      <c r="L62" s="22"/>
      <c r="M62" s="22"/>
      <c r="N62" s="22"/>
      <c r="O62" s="22"/>
      <c r="P62" s="22"/>
      <c r="Q62" s="22"/>
      <c r="R62" s="22"/>
      <c r="S62" s="20"/>
      <c r="T62" s="20"/>
      <c r="U62" s="20"/>
      <c r="V62" s="22"/>
      <c r="W62" s="20"/>
      <c r="X62" s="22"/>
      <c r="Y62" s="22"/>
      <c r="Z62" s="22"/>
      <c r="AA62" s="22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19"/>
      <c r="BJ62" s="20"/>
      <c r="BK62" s="20"/>
      <c r="BL62" s="23"/>
      <c r="BM62" s="23"/>
      <c r="BN62" s="17"/>
      <c r="BO62" s="17"/>
      <c r="BP62" s="17"/>
      <c r="BQ62" s="17"/>
      <c r="BR62" s="17"/>
      <c r="BS62" s="17"/>
    </row>
    <row r="63" spans="1:71" ht="13.2">
      <c r="A63" s="19"/>
      <c r="B63" s="20"/>
      <c r="C63" s="20"/>
      <c r="D63" s="21"/>
      <c r="E63" s="20"/>
      <c r="F63" s="20"/>
      <c r="G63" s="22"/>
      <c r="H63" s="22"/>
      <c r="I63" s="20"/>
      <c r="J63" s="20"/>
      <c r="K63" s="20"/>
      <c r="L63" s="22"/>
      <c r="M63" s="22"/>
      <c r="N63" s="22"/>
      <c r="O63" s="22"/>
      <c r="P63" s="22"/>
      <c r="Q63" s="22"/>
      <c r="R63" s="22"/>
      <c r="S63" s="20"/>
      <c r="T63" s="20"/>
      <c r="U63" s="20"/>
      <c r="V63" s="22"/>
      <c r="W63" s="20"/>
      <c r="X63" s="22"/>
      <c r="Y63" s="22"/>
      <c r="Z63" s="22"/>
      <c r="AA63" s="22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19"/>
      <c r="BJ63" s="20"/>
      <c r="BK63" s="20"/>
      <c r="BL63" s="23"/>
      <c r="BM63" s="23"/>
      <c r="BN63" s="17"/>
      <c r="BO63" s="17"/>
      <c r="BP63" s="17"/>
      <c r="BQ63" s="17"/>
      <c r="BR63" s="17"/>
      <c r="BS63" s="17"/>
    </row>
    <row r="64" spans="1:71" ht="13.2">
      <c r="A64" s="19"/>
      <c r="B64" s="20"/>
      <c r="C64" s="20"/>
      <c r="D64" s="21"/>
      <c r="E64" s="20"/>
      <c r="F64" s="20"/>
      <c r="G64" s="22"/>
      <c r="H64" s="22"/>
      <c r="I64" s="20"/>
      <c r="J64" s="20"/>
      <c r="K64" s="20"/>
      <c r="L64" s="22"/>
      <c r="M64" s="22"/>
      <c r="N64" s="22"/>
      <c r="O64" s="22"/>
      <c r="P64" s="22"/>
      <c r="Q64" s="22"/>
      <c r="R64" s="22"/>
      <c r="S64" s="20"/>
      <c r="T64" s="20"/>
      <c r="U64" s="20"/>
      <c r="V64" s="22"/>
      <c r="W64" s="20"/>
      <c r="X64" s="22"/>
      <c r="Y64" s="22"/>
      <c r="Z64" s="22"/>
      <c r="AA64" s="22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19"/>
      <c r="BJ64" s="20"/>
      <c r="BK64" s="20"/>
      <c r="BL64" s="23"/>
      <c r="BM64" s="23"/>
      <c r="BN64" s="17"/>
      <c r="BO64" s="17"/>
      <c r="BP64" s="17"/>
      <c r="BQ64" s="17"/>
      <c r="BR64" s="17"/>
      <c r="BS64" s="17"/>
    </row>
    <row r="65" spans="1:71" ht="13.2">
      <c r="A65" s="19"/>
      <c r="B65" s="20"/>
      <c r="C65" s="20"/>
      <c r="D65" s="21"/>
      <c r="E65" s="20"/>
      <c r="F65" s="20"/>
      <c r="G65" s="22"/>
      <c r="H65" s="22"/>
      <c r="I65" s="20"/>
      <c r="J65" s="20"/>
      <c r="K65" s="20"/>
      <c r="L65" s="22"/>
      <c r="M65" s="22"/>
      <c r="N65" s="22"/>
      <c r="O65" s="22"/>
      <c r="P65" s="22"/>
      <c r="Q65" s="22"/>
      <c r="R65" s="22"/>
      <c r="S65" s="20"/>
      <c r="T65" s="20"/>
      <c r="U65" s="20"/>
      <c r="V65" s="22"/>
      <c r="W65" s="20"/>
      <c r="X65" s="22"/>
      <c r="Y65" s="22"/>
      <c r="Z65" s="22"/>
      <c r="AA65" s="22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19"/>
      <c r="BJ65" s="20"/>
      <c r="BK65" s="20"/>
      <c r="BL65" s="23"/>
      <c r="BM65" s="23"/>
      <c r="BN65" s="17"/>
      <c r="BO65" s="17"/>
      <c r="BP65" s="17"/>
      <c r="BQ65" s="17"/>
      <c r="BR65" s="17"/>
      <c r="BS65" s="17"/>
    </row>
    <row r="66" spans="1:71" ht="13.2">
      <c r="A66" s="19"/>
      <c r="B66" s="20"/>
      <c r="C66" s="20"/>
      <c r="D66" s="21"/>
      <c r="E66" s="20"/>
      <c r="F66" s="20"/>
      <c r="G66" s="22"/>
      <c r="H66" s="22"/>
      <c r="I66" s="20"/>
      <c r="J66" s="20"/>
      <c r="K66" s="20"/>
      <c r="L66" s="22"/>
      <c r="M66" s="22"/>
      <c r="N66" s="22"/>
      <c r="O66" s="22"/>
      <c r="P66" s="22"/>
      <c r="Q66" s="22"/>
      <c r="R66" s="22"/>
      <c r="S66" s="20"/>
      <c r="T66" s="20"/>
      <c r="U66" s="20"/>
      <c r="V66" s="22"/>
      <c r="W66" s="20"/>
      <c r="X66" s="22"/>
      <c r="Y66" s="22"/>
      <c r="Z66" s="22"/>
      <c r="AA66" s="22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19"/>
      <c r="BJ66" s="20"/>
      <c r="BK66" s="20"/>
      <c r="BL66" s="23"/>
      <c r="BM66" s="23"/>
      <c r="BN66" s="17"/>
      <c r="BO66" s="17"/>
      <c r="BP66" s="17"/>
      <c r="BQ66" s="17"/>
      <c r="BR66" s="17"/>
      <c r="BS66" s="17"/>
    </row>
    <row r="67" spans="1:71" ht="13.2">
      <c r="A67" s="19"/>
      <c r="B67" s="20"/>
      <c r="C67" s="20"/>
      <c r="D67" s="21"/>
      <c r="E67" s="20"/>
      <c r="F67" s="20"/>
      <c r="G67" s="22"/>
      <c r="H67" s="22"/>
      <c r="I67" s="20"/>
      <c r="J67" s="20"/>
      <c r="K67" s="20"/>
      <c r="L67" s="22"/>
      <c r="M67" s="22"/>
      <c r="N67" s="22"/>
      <c r="O67" s="22"/>
      <c r="P67" s="22"/>
      <c r="Q67" s="22"/>
      <c r="R67" s="22"/>
      <c r="S67" s="20"/>
      <c r="T67" s="20"/>
      <c r="U67" s="20"/>
      <c r="V67" s="22"/>
      <c r="W67" s="20"/>
      <c r="X67" s="22"/>
      <c r="Y67" s="22"/>
      <c r="Z67" s="22"/>
      <c r="AA67" s="22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19"/>
      <c r="BJ67" s="20"/>
      <c r="BK67" s="20"/>
      <c r="BL67" s="23"/>
      <c r="BM67" s="23"/>
      <c r="BN67" s="17"/>
      <c r="BO67" s="17"/>
      <c r="BP67" s="17"/>
      <c r="BQ67" s="17"/>
      <c r="BR67" s="17"/>
      <c r="BS67" s="17"/>
    </row>
    <row r="68" spans="1:71" ht="13.2">
      <c r="A68" s="19"/>
      <c r="B68" s="20"/>
      <c r="C68" s="20"/>
      <c r="D68" s="21"/>
      <c r="E68" s="20"/>
      <c r="F68" s="20"/>
      <c r="G68" s="22"/>
      <c r="H68" s="22"/>
      <c r="I68" s="20"/>
      <c r="J68" s="20"/>
      <c r="K68" s="20"/>
      <c r="L68" s="22"/>
      <c r="M68" s="22"/>
      <c r="N68" s="22"/>
      <c r="O68" s="22"/>
      <c r="P68" s="22"/>
      <c r="Q68" s="22"/>
      <c r="R68" s="22"/>
      <c r="S68" s="20"/>
      <c r="T68" s="20"/>
      <c r="U68" s="20"/>
      <c r="V68" s="22"/>
      <c r="W68" s="20"/>
      <c r="X68" s="22"/>
      <c r="Y68" s="22"/>
      <c r="Z68" s="22"/>
      <c r="AA68" s="22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19"/>
      <c r="BJ68" s="20"/>
      <c r="BK68" s="20"/>
      <c r="BL68" s="23"/>
      <c r="BM68" s="23"/>
      <c r="BN68" s="17"/>
      <c r="BO68" s="17"/>
      <c r="BP68" s="17"/>
      <c r="BQ68" s="17"/>
      <c r="BR68" s="17"/>
      <c r="BS68" s="17"/>
    </row>
    <row r="69" spans="1:71" ht="13.2">
      <c r="A69" s="19"/>
      <c r="B69" s="20"/>
      <c r="C69" s="20"/>
      <c r="D69" s="21"/>
      <c r="E69" s="20"/>
      <c r="F69" s="20"/>
      <c r="G69" s="22"/>
      <c r="H69" s="22"/>
      <c r="I69" s="20"/>
      <c r="J69" s="20"/>
      <c r="K69" s="20"/>
      <c r="L69" s="22"/>
      <c r="M69" s="22"/>
      <c r="N69" s="22"/>
      <c r="O69" s="22"/>
      <c r="P69" s="22"/>
      <c r="Q69" s="22"/>
      <c r="R69" s="22"/>
      <c r="S69" s="20"/>
      <c r="T69" s="20"/>
      <c r="U69" s="20"/>
      <c r="V69" s="22"/>
      <c r="W69" s="20"/>
      <c r="X69" s="22"/>
      <c r="Y69" s="22"/>
      <c r="Z69" s="22"/>
      <c r="AA69" s="22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19"/>
      <c r="BJ69" s="20"/>
      <c r="BK69" s="20"/>
      <c r="BL69" s="23"/>
      <c r="BM69" s="23"/>
      <c r="BN69" s="17"/>
      <c r="BO69" s="17"/>
      <c r="BP69" s="17"/>
      <c r="BQ69" s="17"/>
      <c r="BR69" s="17"/>
      <c r="BS69" s="17"/>
    </row>
    <row r="70" spans="1:71" ht="13.2">
      <c r="A70" s="19"/>
      <c r="B70" s="20"/>
      <c r="C70" s="20"/>
      <c r="D70" s="21"/>
      <c r="E70" s="20"/>
      <c r="F70" s="20"/>
      <c r="G70" s="22"/>
      <c r="H70" s="22"/>
      <c r="I70" s="20"/>
      <c r="J70" s="20"/>
      <c r="K70" s="20"/>
      <c r="L70" s="22"/>
      <c r="M70" s="22"/>
      <c r="N70" s="22"/>
      <c r="O70" s="22"/>
      <c r="P70" s="22"/>
      <c r="Q70" s="22"/>
      <c r="R70" s="22"/>
      <c r="S70" s="20"/>
      <c r="T70" s="20"/>
      <c r="U70" s="20"/>
      <c r="V70" s="22"/>
      <c r="W70" s="20"/>
      <c r="X70" s="22"/>
      <c r="Y70" s="22"/>
      <c r="Z70" s="22"/>
      <c r="AA70" s="22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19"/>
      <c r="BJ70" s="20"/>
      <c r="BK70" s="20"/>
      <c r="BL70" s="23"/>
      <c r="BM70" s="23"/>
      <c r="BN70" s="17"/>
      <c r="BO70" s="17"/>
      <c r="BP70" s="17"/>
      <c r="BQ70" s="17"/>
      <c r="BR70" s="17"/>
      <c r="BS70" s="17"/>
    </row>
    <row r="71" spans="1:71" ht="13.2">
      <c r="A71" s="19"/>
      <c r="B71" s="20"/>
      <c r="C71" s="20"/>
      <c r="D71" s="21"/>
      <c r="E71" s="20"/>
      <c r="F71" s="20"/>
      <c r="G71" s="22"/>
      <c r="H71" s="22"/>
      <c r="I71" s="20"/>
      <c r="J71" s="20"/>
      <c r="K71" s="20"/>
      <c r="L71" s="22"/>
      <c r="M71" s="22"/>
      <c r="N71" s="22"/>
      <c r="O71" s="22"/>
      <c r="P71" s="22"/>
      <c r="Q71" s="22"/>
      <c r="R71" s="22"/>
      <c r="S71" s="20"/>
      <c r="T71" s="20"/>
      <c r="U71" s="20"/>
      <c r="V71" s="22"/>
      <c r="W71" s="20"/>
      <c r="X71" s="22"/>
      <c r="Y71" s="22"/>
      <c r="Z71" s="22"/>
      <c r="AA71" s="22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19"/>
      <c r="BJ71" s="20"/>
      <c r="BK71" s="20"/>
      <c r="BL71" s="23"/>
      <c r="BM71" s="23"/>
      <c r="BN71" s="17"/>
      <c r="BO71" s="17"/>
      <c r="BP71" s="17"/>
      <c r="BQ71" s="17"/>
      <c r="BR71" s="17"/>
      <c r="BS71" s="17"/>
    </row>
    <row r="72" spans="1:71" ht="13.2">
      <c r="A72" s="19"/>
      <c r="B72" s="20"/>
      <c r="C72" s="20"/>
      <c r="D72" s="21"/>
      <c r="E72" s="20"/>
      <c r="F72" s="20"/>
      <c r="G72" s="22"/>
      <c r="H72" s="22"/>
      <c r="I72" s="20"/>
      <c r="J72" s="20"/>
      <c r="K72" s="20"/>
      <c r="L72" s="22"/>
      <c r="M72" s="22"/>
      <c r="N72" s="22"/>
      <c r="O72" s="22"/>
      <c r="P72" s="22"/>
      <c r="Q72" s="22"/>
      <c r="R72" s="22"/>
      <c r="S72" s="20"/>
      <c r="T72" s="20"/>
      <c r="U72" s="20"/>
      <c r="V72" s="22"/>
      <c r="W72" s="20"/>
      <c r="X72" s="22"/>
      <c r="Y72" s="22"/>
      <c r="Z72" s="22"/>
      <c r="AA72" s="22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19"/>
      <c r="BJ72" s="20"/>
      <c r="BK72" s="20"/>
      <c r="BL72" s="23"/>
      <c r="BM72" s="23"/>
      <c r="BN72" s="17"/>
      <c r="BO72" s="17"/>
      <c r="BP72" s="17"/>
      <c r="BQ72" s="17"/>
      <c r="BR72" s="17"/>
      <c r="BS72" s="17"/>
    </row>
    <row r="73" spans="1:71" ht="13.2">
      <c r="A73" s="19"/>
      <c r="B73" s="20"/>
      <c r="C73" s="20"/>
      <c r="D73" s="21"/>
      <c r="E73" s="20"/>
      <c r="F73" s="20"/>
      <c r="G73" s="22"/>
      <c r="H73" s="22"/>
      <c r="I73" s="20"/>
      <c r="J73" s="20"/>
      <c r="K73" s="20"/>
      <c r="L73" s="22"/>
      <c r="M73" s="22"/>
      <c r="N73" s="22"/>
      <c r="O73" s="22"/>
      <c r="P73" s="22"/>
      <c r="Q73" s="22"/>
      <c r="R73" s="22"/>
      <c r="S73" s="20"/>
      <c r="T73" s="20"/>
      <c r="U73" s="20"/>
      <c r="V73" s="22"/>
      <c r="W73" s="20"/>
      <c r="X73" s="22"/>
      <c r="Y73" s="22"/>
      <c r="Z73" s="22"/>
      <c r="AA73" s="22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19"/>
      <c r="BJ73" s="20"/>
      <c r="BK73" s="20"/>
      <c r="BL73" s="23"/>
      <c r="BM73" s="23"/>
      <c r="BN73" s="17"/>
      <c r="BO73" s="17"/>
      <c r="BP73" s="17"/>
      <c r="BQ73" s="17"/>
      <c r="BR73" s="17"/>
      <c r="BS73" s="17"/>
    </row>
    <row r="74" spans="1:71" ht="13.2">
      <c r="A74" s="19"/>
      <c r="B74" s="20"/>
      <c r="C74" s="20"/>
      <c r="D74" s="21"/>
      <c r="E74" s="20"/>
      <c r="F74" s="20"/>
      <c r="G74" s="22"/>
      <c r="H74" s="22"/>
      <c r="I74" s="20"/>
      <c r="J74" s="20"/>
      <c r="K74" s="20"/>
      <c r="L74" s="22"/>
      <c r="M74" s="22"/>
      <c r="N74" s="22"/>
      <c r="O74" s="22"/>
      <c r="P74" s="22"/>
      <c r="Q74" s="22"/>
      <c r="R74" s="22"/>
      <c r="S74" s="20"/>
      <c r="T74" s="20"/>
      <c r="U74" s="20"/>
      <c r="V74" s="22"/>
      <c r="W74" s="20"/>
      <c r="X74" s="22"/>
      <c r="Y74" s="22"/>
      <c r="Z74" s="22"/>
      <c r="AA74" s="22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19"/>
      <c r="BJ74" s="20"/>
      <c r="BK74" s="20"/>
      <c r="BL74" s="23"/>
      <c r="BM74" s="23"/>
      <c r="BN74" s="17"/>
      <c r="BO74" s="17"/>
      <c r="BP74" s="17"/>
      <c r="BQ74" s="17"/>
      <c r="BR74" s="17"/>
      <c r="BS74" s="17"/>
    </row>
    <row r="75" spans="1:71" ht="13.2">
      <c r="A75" s="19"/>
      <c r="B75" s="20"/>
      <c r="C75" s="20"/>
      <c r="D75" s="21"/>
      <c r="E75" s="20"/>
      <c r="F75" s="20"/>
      <c r="G75" s="22"/>
      <c r="H75" s="22"/>
      <c r="I75" s="20"/>
      <c r="J75" s="20"/>
      <c r="K75" s="20"/>
      <c r="L75" s="22"/>
      <c r="M75" s="22"/>
      <c r="N75" s="22"/>
      <c r="O75" s="22"/>
      <c r="P75" s="22"/>
      <c r="Q75" s="22"/>
      <c r="R75" s="22"/>
      <c r="S75" s="20"/>
      <c r="T75" s="20"/>
      <c r="U75" s="20"/>
      <c r="V75" s="22"/>
      <c r="W75" s="20"/>
      <c r="X75" s="22"/>
      <c r="Y75" s="22"/>
      <c r="Z75" s="22"/>
      <c r="AA75" s="22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19"/>
      <c r="BJ75" s="20"/>
      <c r="BK75" s="20"/>
      <c r="BL75" s="23"/>
      <c r="BM75" s="23"/>
      <c r="BN75" s="17"/>
      <c r="BO75" s="17"/>
      <c r="BP75" s="17"/>
      <c r="BQ75" s="17"/>
      <c r="BR75" s="17"/>
      <c r="BS75" s="17"/>
    </row>
    <row r="76" spans="1:71" ht="13.2">
      <c r="A76" s="19"/>
      <c r="B76" s="20"/>
      <c r="C76" s="20"/>
      <c r="D76" s="21"/>
      <c r="E76" s="20"/>
      <c r="F76" s="20"/>
      <c r="G76" s="22"/>
      <c r="H76" s="22"/>
      <c r="I76" s="20"/>
      <c r="J76" s="20"/>
      <c r="K76" s="20"/>
      <c r="L76" s="22"/>
      <c r="M76" s="22"/>
      <c r="N76" s="22"/>
      <c r="O76" s="22"/>
      <c r="P76" s="22"/>
      <c r="Q76" s="22"/>
      <c r="R76" s="22"/>
      <c r="S76" s="20"/>
      <c r="T76" s="20"/>
      <c r="U76" s="20"/>
      <c r="V76" s="22"/>
      <c r="W76" s="20"/>
      <c r="X76" s="22"/>
      <c r="Y76" s="22"/>
      <c r="Z76" s="22"/>
      <c r="AA76" s="22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19"/>
      <c r="BJ76" s="20"/>
      <c r="BK76" s="20"/>
      <c r="BL76" s="23"/>
      <c r="BM76" s="23"/>
      <c r="BN76" s="17"/>
      <c r="BO76" s="17"/>
      <c r="BP76" s="17"/>
      <c r="BQ76" s="17"/>
      <c r="BR76" s="17"/>
      <c r="BS76" s="17"/>
    </row>
    <row r="77" spans="1:71" ht="13.2">
      <c r="A77" s="19"/>
      <c r="B77" s="20"/>
      <c r="C77" s="20"/>
      <c r="D77" s="21"/>
      <c r="E77" s="20"/>
      <c r="F77" s="20"/>
      <c r="G77" s="22"/>
      <c r="H77" s="22"/>
      <c r="I77" s="20"/>
      <c r="J77" s="20"/>
      <c r="K77" s="20"/>
      <c r="L77" s="22"/>
      <c r="M77" s="22"/>
      <c r="N77" s="22"/>
      <c r="O77" s="22"/>
      <c r="P77" s="22"/>
      <c r="Q77" s="22"/>
      <c r="R77" s="22"/>
      <c r="S77" s="20"/>
      <c r="T77" s="20"/>
      <c r="U77" s="20"/>
      <c r="V77" s="22"/>
      <c r="W77" s="20"/>
      <c r="X77" s="22"/>
      <c r="Y77" s="22"/>
      <c r="Z77" s="22"/>
      <c r="AA77" s="22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19"/>
      <c r="BJ77" s="20"/>
      <c r="BK77" s="20"/>
      <c r="BL77" s="23"/>
      <c r="BM77" s="23"/>
      <c r="BN77" s="17"/>
      <c r="BO77" s="17"/>
      <c r="BP77" s="17"/>
      <c r="BQ77" s="17"/>
      <c r="BR77" s="17"/>
      <c r="BS77" s="17"/>
    </row>
    <row r="78" spans="1:71" ht="13.2">
      <c r="A78" s="19"/>
      <c r="B78" s="20"/>
      <c r="C78" s="20"/>
      <c r="D78" s="21"/>
      <c r="E78" s="20"/>
      <c r="F78" s="20"/>
      <c r="G78" s="22"/>
      <c r="H78" s="22"/>
      <c r="I78" s="20"/>
      <c r="J78" s="20"/>
      <c r="K78" s="20"/>
      <c r="L78" s="22"/>
      <c r="M78" s="22"/>
      <c r="N78" s="22"/>
      <c r="O78" s="22"/>
      <c r="P78" s="22"/>
      <c r="Q78" s="22"/>
      <c r="R78" s="22"/>
      <c r="S78" s="20"/>
      <c r="T78" s="20"/>
      <c r="U78" s="20"/>
      <c r="V78" s="22"/>
      <c r="W78" s="20"/>
      <c r="X78" s="22"/>
      <c r="Y78" s="22"/>
      <c r="Z78" s="22"/>
      <c r="AA78" s="22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19"/>
      <c r="BJ78" s="20"/>
      <c r="BK78" s="20"/>
      <c r="BL78" s="23"/>
      <c r="BM78" s="23"/>
      <c r="BN78" s="17"/>
      <c r="BO78" s="17"/>
      <c r="BP78" s="17"/>
      <c r="BQ78" s="17"/>
      <c r="BR78" s="17"/>
      <c r="BS78" s="17"/>
    </row>
    <row r="79" spans="1:71" ht="13.2">
      <c r="A79" s="19"/>
      <c r="B79" s="20"/>
      <c r="C79" s="20"/>
      <c r="D79" s="21"/>
      <c r="E79" s="20"/>
      <c r="F79" s="20"/>
      <c r="G79" s="22"/>
      <c r="H79" s="22"/>
      <c r="I79" s="20"/>
      <c r="J79" s="20"/>
      <c r="K79" s="20"/>
      <c r="L79" s="22"/>
      <c r="M79" s="22"/>
      <c r="N79" s="22"/>
      <c r="O79" s="22"/>
      <c r="P79" s="22"/>
      <c r="Q79" s="22"/>
      <c r="R79" s="22"/>
      <c r="S79" s="20"/>
      <c r="T79" s="20"/>
      <c r="U79" s="20"/>
      <c r="V79" s="22"/>
      <c r="W79" s="20"/>
      <c r="X79" s="22"/>
      <c r="Y79" s="22"/>
      <c r="Z79" s="22"/>
      <c r="AA79" s="22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19"/>
      <c r="BJ79" s="20"/>
      <c r="BK79" s="20"/>
      <c r="BL79" s="23"/>
      <c r="BM79" s="23"/>
      <c r="BN79" s="17"/>
      <c r="BO79" s="17"/>
      <c r="BP79" s="17"/>
      <c r="BQ79" s="17"/>
      <c r="BR79" s="17"/>
      <c r="BS79" s="17"/>
    </row>
    <row r="80" spans="1:71" ht="13.2">
      <c r="A80" s="19"/>
      <c r="B80" s="20"/>
      <c r="C80" s="20"/>
      <c r="D80" s="21"/>
      <c r="E80" s="20"/>
      <c r="F80" s="20"/>
      <c r="G80" s="22"/>
      <c r="H80" s="22"/>
      <c r="I80" s="20"/>
      <c r="J80" s="20"/>
      <c r="K80" s="20"/>
      <c r="L80" s="22"/>
      <c r="M80" s="22"/>
      <c r="N80" s="22"/>
      <c r="O80" s="22"/>
      <c r="P80" s="22"/>
      <c r="Q80" s="22"/>
      <c r="R80" s="22"/>
      <c r="S80" s="20"/>
      <c r="T80" s="20"/>
      <c r="U80" s="20"/>
      <c r="V80" s="22"/>
      <c r="W80" s="20"/>
      <c r="X80" s="22"/>
      <c r="Y80" s="22"/>
      <c r="Z80" s="22"/>
      <c r="AA80" s="22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19"/>
      <c r="BJ80" s="20"/>
      <c r="BK80" s="20"/>
      <c r="BL80" s="23"/>
      <c r="BM80" s="23"/>
      <c r="BN80" s="17"/>
      <c r="BO80" s="17"/>
      <c r="BP80" s="17"/>
      <c r="BQ80" s="17"/>
      <c r="BR80" s="17"/>
      <c r="BS80" s="17"/>
    </row>
    <row r="81" spans="1:71" ht="13.2">
      <c r="A81" s="19"/>
      <c r="B81" s="20"/>
      <c r="C81" s="20"/>
      <c r="D81" s="21"/>
      <c r="E81" s="20"/>
      <c r="F81" s="20"/>
      <c r="G81" s="22"/>
      <c r="H81" s="22"/>
      <c r="I81" s="20"/>
      <c r="J81" s="20"/>
      <c r="K81" s="20"/>
      <c r="L81" s="22"/>
      <c r="M81" s="22"/>
      <c r="N81" s="22"/>
      <c r="O81" s="22"/>
      <c r="P81" s="22"/>
      <c r="Q81" s="22"/>
      <c r="R81" s="22"/>
      <c r="S81" s="20"/>
      <c r="T81" s="20"/>
      <c r="U81" s="20"/>
      <c r="V81" s="22"/>
      <c r="W81" s="20"/>
      <c r="X81" s="22"/>
      <c r="Y81" s="22"/>
      <c r="Z81" s="22"/>
      <c r="AA81" s="22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19"/>
      <c r="BJ81" s="20"/>
      <c r="BK81" s="20"/>
      <c r="BL81" s="23"/>
      <c r="BM81" s="23"/>
      <c r="BN81" s="17"/>
      <c r="BO81" s="17"/>
      <c r="BP81" s="17"/>
      <c r="BQ81" s="17"/>
      <c r="BR81" s="17"/>
      <c r="BS81" s="17"/>
    </row>
    <row r="82" spans="1:71" ht="13.2">
      <c r="A82" s="19"/>
      <c r="B82" s="20"/>
      <c r="C82" s="20"/>
      <c r="D82" s="21"/>
      <c r="E82" s="20"/>
      <c r="F82" s="20"/>
      <c r="G82" s="22"/>
      <c r="H82" s="22"/>
      <c r="I82" s="20"/>
      <c r="J82" s="20"/>
      <c r="K82" s="20"/>
      <c r="L82" s="22"/>
      <c r="M82" s="22"/>
      <c r="N82" s="22"/>
      <c r="O82" s="22"/>
      <c r="P82" s="22"/>
      <c r="Q82" s="22"/>
      <c r="R82" s="22"/>
      <c r="S82" s="20"/>
      <c r="T82" s="20"/>
      <c r="U82" s="20"/>
      <c r="V82" s="22"/>
      <c r="W82" s="20"/>
      <c r="X82" s="22"/>
      <c r="Y82" s="22"/>
      <c r="Z82" s="22"/>
      <c r="AA82" s="22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19"/>
      <c r="BJ82" s="20"/>
      <c r="BK82" s="20"/>
      <c r="BL82" s="23"/>
      <c r="BM82" s="23"/>
      <c r="BN82" s="17"/>
      <c r="BO82" s="17"/>
      <c r="BP82" s="17"/>
      <c r="BQ82" s="17"/>
      <c r="BR82" s="17"/>
      <c r="BS82" s="17"/>
    </row>
    <row r="83" spans="1:71" ht="13.2">
      <c r="A83" s="19"/>
      <c r="B83" s="20"/>
      <c r="C83" s="20"/>
      <c r="D83" s="21"/>
      <c r="E83" s="20"/>
      <c r="F83" s="20"/>
      <c r="G83" s="22"/>
      <c r="H83" s="22"/>
      <c r="I83" s="20"/>
      <c r="J83" s="20"/>
      <c r="K83" s="20"/>
      <c r="L83" s="22"/>
      <c r="M83" s="22"/>
      <c r="N83" s="22"/>
      <c r="O83" s="22"/>
      <c r="P83" s="22"/>
      <c r="Q83" s="22"/>
      <c r="R83" s="22"/>
      <c r="S83" s="20"/>
      <c r="T83" s="20"/>
      <c r="U83" s="20"/>
      <c r="V83" s="22"/>
      <c r="W83" s="20"/>
      <c r="X83" s="22"/>
      <c r="Y83" s="22"/>
      <c r="Z83" s="22"/>
      <c r="AA83" s="22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19"/>
      <c r="BJ83" s="20"/>
      <c r="BK83" s="20"/>
      <c r="BL83" s="23"/>
      <c r="BM83" s="23"/>
      <c r="BN83" s="17"/>
      <c r="BO83" s="17"/>
      <c r="BP83" s="17"/>
      <c r="BQ83" s="17"/>
      <c r="BR83" s="17"/>
      <c r="BS83" s="17"/>
    </row>
    <row r="84" spans="1:71" ht="13.2">
      <c r="A84" s="19"/>
      <c r="B84" s="20"/>
      <c r="C84" s="20"/>
      <c r="D84" s="21"/>
      <c r="E84" s="20"/>
      <c r="F84" s="20"/>
      <c r="G84" s="22"/>
      <c r="H84" s="22"/>
      <c r="I84" s="20"/>
      <c r="J84" s="20"/>
      <c r="K84" s="20"/>
      <c r="L84" s="22"/>
      <c r="M84" s="22"/>
      <c r="N84" s="22"/>
      <c r="O84" s="22"/>
      <c r="P84" s="22"/>
      <c r="Q84" s="22"/>
      <c r="R84" s="22"/>
      <c r="S84" s="20"/>
      <c r="T84" s="20"/>
      <c r="U84" s="20"/>
      <c r="V84" s="22"/>
      <c r="W84" s="20"/>
      <c r="X84" s="22"/>
      <c r="Y84" s="22"/>
      <c r="Z84" s="22"/>
      <c r="AA84" s="22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19"/>
      <c r="BJ84" s="20"/>
      <c r="BK84" s="20"/>
      <c r="BL84" s="23"/>
      <c r="BM84" s="23"/>
      <c r="BN84" s="17"/>
      <c r="BO84" s="17"/>
      <c r="BP84" s="17"/>
      <c r="BQ84" s="17"/>
      <c r="BR84" s="17"/>
      <c r="BS84" s="17"/>
    </row>
    <row r="85" spans="1:71" ht="13.2">
      <c r="A85" s="19"/>
      <c r="B85" s="20"/>
      <c r="C85" s="20"/>
      <c r="D85" s="21"/>
      <c r="E85" s="20"/>
      <c r="F85" s="20"/>
      <c r="G85" s="22"/>
      <c r="H85" s="22"/>
      <c r="I85" s="20"/>
      <c r="J85" s="20"/>
      <c r="K85" s="20"/>
      <c r="L85" s="22"/>
      <c r="M85" s="22"/>
      <c r="N85" s="22"/>
      <c r="O85" s="22"/>
      <c r="P85" s="22"/>
      <c r="Q85" s="22"/>
      <c r="R85" s="22"/>
      <c r="S85" s="20"/>
      <c r="T85" s="20"/>
      <c r="U85" s="20"/>
      <c r="V85" s="22"/>
      <c r="W85" s="20"/>
      <c r="X85" s="22"/>
      <c r="Y85" s="22"/>
      <c r="Z85" s="22"/>
      <c r="AA85" s="22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19"/>
      <c r="BJ85" s="20"/>
      <c r="BK85" s="20"/>
      <c r="BL85" s="23"/>
      <c r="BM85" s="23"/>
      <c r="BN85" s="17"/>
      <c r="BO85" s="17"/>
      <c r="BP85" s="17"/>
      <c r="BQ85" s="17"/>
      <c r="BR85" s="17"/>
      <c r="BS85" s="17"/>
    </row>
    <row r="86" spans="1:71" ht="13.2">
      <c r="A86" s="19"/>
      <c r="B86" s="20"/>
      <c r="C86" s="20"/>
      <c r="D86" s="21"/>
      <c r="E86" s="20"/>
      <c r="F86" s="20"/>
      <c r="G86" s="22"/>
      <c r="H86" s="22"/>
      <c r="I86" s="20"/>
      <c r="J86" s="20"/>
      <c r="K86" s="20"/>
      <c r="L86" s="22"/>
      <c r="M86" s="22"/>
      <c r="N86" s="22"/>
      <c r="O86" s="22"/>
      <c r="P86" s="22"/>
      <c r="Q86" s="22"/>
      <c r="R86" s="22"/>
      <c r="S86" s="20"/>
      <c r="T86" s="20"/>
      <c r="U86" s="20"/>
      <c r="V86" s="22"/>
      <c r="W86" s="20"/>
      <c r="X86" s="22"/>
      <c r="Y86" s="22"/>
      <c r="Z86" s="22"/>
      <c r="AA86" s="22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19"/>
      <c r="BJ86" s="20"/>
      <c r="BK86" s="20"/>
      <c r="BL86" s="23"/>
      <c r="BM86" s="23"/>
      <c r="BN86" s="17"/>
      <c r="BO86" s="17"/>
      <c r="BP86" s="17"/>
      <c r="BQ86" s="17"/>
      <c r="BR86" s="17"/>
      <c r="BS86" s="17"/>
    </row>
    <row r="87" spans="1:71" ht="13.2">
      <c r="A87" s="19"/>
      <c r="B87" s="20"/>
      <c r="C87" s="20"/>
      <c r="D87" s="21"/>
      <c r="E87" s="20"/>
      <c r="F87" s="20"/>
      <c r="G87" s="22"/>
      <c r="H87" s="22"/>
      <c r="I87" s="20"/>
      <c r="J87" s="20"/>
      <c r="K87" s="20"/>
      <c r="L87" s="22"/>
      <c r="M87" s="22"/>
      <c r="N87" s="22"/>
      <c r="O87" s="22"/>
      <c r="P87" s="22"/>
      <c r="Q87" s="22"/>
      <c r="R87" s="22"/>
      <c r="S87" s="20"/>
      <c r="T87" s="20"/>
      <c r="U87" s="20"/>
      <c r="V87" s="22"/>
      <c r="W87" s="20"/>
      <c r="X87" s="22"/>
      <c r="Y87" s="22"/>
      <c r="Z87" s="22"/>
      <c r="AA87" s="22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19"/>
      <c r="BJ87" s="20"/>
      <c r="BK87" s="20"/>
      <c r="BL87" s="23"/>
      <c r="BM87" s="23"/>
      <c r="BN87" s="17"/>
      <c r="BO87" s="17"/>
      <c r="BP87" s="17"/>
      <c r="BQ87" s="17"/>
      <c r="BR87" s="17"/>
      <c r="BS87" s="17"/>
    </row>
    <row r="88" spans="1:71" ht="13.2">
      <c r="A88" s="19"/>
      <c r="B88" s="20"/>
      <c r="C88" s="20"/>
      <c r="D88" s="21"/>
      <c r="E88" s="20"/>
      <c r="F88" s="20"/>
      <c r="G88" s="22"/>
      <c r="H88" s="22"/>
      <c r="I88" s="20"/>
      <c r="J88" s="20"/>
      <c r="K88" s="20"/>
      <c r="L88" s="22"/>
      <c r="M88" s="22"/>
      <c r="N88" s="22"/>
      <c r="O88" s="22"/>
      <c r="P88" s="22"/>
      <c r="Q88" s="22"/>
      <c r="R88" s="22"/>
      <c r="S88" s="20"/>
      <c r="T88" s="20"/>
      <c r="U88" s="20"/>
      <c r="V88" s="22"/>
      <c r="W88" s="20"/>
      <c r="X88" s="22"/>
      <c r="Y88" s="22"/>
      <c r="Z88" s="22"/>
      <c r="AA88" s="22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19"/>
      <c r="BJ88" s="20"/>
      <c r="BK88" s="20"/>
      <c r="BL88" s="23"/>
      <c r="BM88" s="23"/>
      <c r="BN88" s="17"/>
      <c r="BO88" s="17"/>
      <c r="BP88" s="17"/>
      <c r="BQ88" s="17"/>
      <c r="BR88" s="17"/>
      <c r="BS88" s="17"/>
    </row>
    <row r="89" spans="1:71" ht="13.2">
      <c r="A89" s="19"/>
      <c r="B89" s="20"/>
      <c r="C89" s="20"/>
      <c r="D89" s="21"/>
      <c r="E89" s="20"/>
      <c r="F89" s="20"/>
      <c r="G89" s="22"/>
      <c r="H89" s="22"/>
      <c r="I89" s="20"/>
      <c r="J89" s="20"/>
      <c r="K89" s="20"/>
      <c r="L89" s="22"/>
      <c r="M89" s="22"/>
      <c r="N89" s="22"/>
      <c r="O89" s="22"/>
      <c r="P89" s="22"/>
      <c r="Q89" s="22"/>
      <c r="R89" s="22"/>
      <c r="S89" s="20"/>
      <c r="T89" s="20"/>
      <c r="U89" s="20"/>
      <c r="V89" s="22"/>
      <c r="W89" s="20"/>
      <c r="X89" s="22"/>
      <c r="Y89" s="22"/>
      <c r="Z89" s="22"/>
      <c r="AA89" s="22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19"/>
      <c r="BJ89" s="20"/>
      <c r="BK89" s="20"/>
      <c r="BL89" s="23"/>
      <c r="BM89" s="23"/>
      <c r="BN89" s="17"/>
      <c r="BO89" s="17"/>
      <c r="BP89" s="17"/>
      <c r="BQ89" s="17"/>
      <c r="BR89" s="17"/>
      <c r="BS89" s="17"/>
    </row>
    <row r="90" spans="1:71" ht="13.2">
      <c r="A90" s="19"/>
      <c r="B90" s="20"/>
      <c r="C90" s="20"/>
      <c r="D90" s="21"/>
      <c r="E90" s="20"/>
      <c r="F90" s="20"/>
      <c r="G90" s="22"/>
      <c r="H90" s="22"/>
      <c r="I90" s="20"/>
      <c r="J90" s="20"/>
      <c r="K90" s="20"/>
      <c r="L90" s="22"/>
      <c r="M90" s="22"/>
      <c r="N90" s="22"/>
      <c r="O90" s="22"/>
      <c r="P90" s="22"/>
      <c r="Q90" s="22"/>
      <c r="R90" s="22"/>
      <c r="S90" s="20"/>
      <c r="T90" s="20"/>
      <c r="U90" s="20"/>
      <c r="V90" s="22"/>
      <c r="W90" s="20"/>
      <c r="X90" s="22"/>
      <c r="Y90" s="22"/>
      <c r="Z90" s="22"/>
      <c r="AA90" s="22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19"/>
      <c r="BJ90" s="20"/>
      <c r="BK90" s="20"/>
      <c r="BL90" s="23"/>
      <c r="BM90" s="23"/>
      <c r="BN90" s="17"/>
      <c r="BO90" s="17"/>
      <c r="BP90" s="17"/>
      <c r="BQ90" s="17"/>
      <c r="BR90" s="17"/>
      <c r="BS90" s="17"/>
    </row>
    <row r="91" spans="1:71" ht="13.2">
      <c r="A91" s="19"/>
      <c r="B91" s="20"/>
      <c r="C91" s="20"/>
      <c r="D91" s="21"/>
      <c r="E91" s="20"/>
      <c r="F91" s="20"/>
      <c r="G91" s="22"/>
      <c r="H91" s="22"/>
      <c r="I91" s="20"/>
      <c r="J91" s="20"/>
      <c r="K91" s="20"/>
      <c r="L91" s="22"/>
      <c r="M91" s="22"/>
      <c r="N91" s="22"/>
      <c r="O91" s="22"/>
      <c r="P91" s="22"/>
      <c r="Q91" s="22"/>
      <c r="R91" s="22"/>
      <c r="S91" s="20"/>
      <c r="T91" s="20"/>
      <c r="U91" s="20"/>
      <c r="V91" s="22"/>
      <c r="W91" s="20"/>
      <c r="X91" s="22"/>
      <c r="Y91" s="22"/>
      <c r="Z91" s="22"/>
      <c r="AA91" s="22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19"/>
      <c r="BJ91" s="20"/>
      <c r="BK91" s="20"/>
      <c r="BL91" s="23"/>
      <c r="BM91" s="23"/>
      <c r="BN91" s="17"/>
      <c r="BO91" s="17"/>
      <c r="BP91" s="17"/>
      <c r="BQ91" s="17"/>
      <c r="BR91" s="17"/>
      <c r="BS91" s="17"/>
    </row>
    <row r="92" spans="1:71" ht="13.2">
      <c r="A92" s="19"/>
      <c r="B92" s="20"/>
      <c r="C92" s="20"/>
      <c r="D92" s="21"/>
      <c r="E92" s="20"/>
      <c r="F92" s="20"/>
      <c r="G92" s="22"/>
      <c r="H92" s="22"/>
      <c r="I92" s="20"/>
      <c r="J92" s="20"/>
      <c r="K92" s="20"/>
      <c r="L92" s="22"/>
      <c r="M92" s="22"/>
      <c r="N92" s="22"/>
      <c r="O92" s="22"/>
      <c r="P92" s="22"/>
      <c r="Q92" s="22"/>
      <c r="R92" s="22"/>
      <c r="S92" s="20"/>
      <c r="T92" s="20"/>
      <c r="U92" s="20"/>
      <c r="V92" s="22"/>
      <c r="W92" s="20"/>
      <c r="X92" s="22"/>
      <c r="Y92" s="22"/>
      <c r="Z92" s="22"/>
      <c r="AA92" s="22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19"/>
      <c r="BJ92" s="20"/>
      <c r="BK92" s="20"/>
      <c r="BL92" s="23"/>
      <c r="BM92" s="23"/>
      <c r="BN92" s="17"/>
      <c r="BO92" s="17"/>
      <c r="BP92" s="17"/>
      <c r="BQ92" s="17"/>
      <c r="BR92" s="17"/>
      <c r="BS92" s="17"/>
    </row>
    <row r="93" spans="1:71" ht="13.2">
      <c r="A93" s="19"/>
      <c r="B93" s="20"/>
      <c r="C93" s="20"/>
      <c r="D93" s="21"/>
      <c r="E93" s="20"/>
      <c r="F93" s="20"/>
      <c r="G93" s="22"/>
      <c r="H93" s="22"/>
      <c r="I93" s="20"/>
      <c r="J93" s="20"/>
      <c r="K93" s="20"/>
      <c r="L93" s="22"/>
      <c r="M93" s="22"/>
      <c r="N93" s="22"/>
      <c r="O93" s="22"/>
      <c r="P93" s="22"/>
      <c r="Q93" s="22"/>
      <c r="R93" s="22"/>
      <c r="S93" s="20"/>
      <c r="T93" s="20"/>
      <c r="U93" s="20"/>
      <c r="V93" s="22"/>
      <c r="W93" s="20"/>
      <c r="X93" s="22"/>
      <c r="Y93" s="22"/>
      <c r="Z93" s="22"/>
      <c r="AA93" s="22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19"/>
      <c r="BJ93" s="20"/>
      <c r="BK93" s="20"/>
      <c r="BL93" s="23"/>
      <c r="BM93" s="23"/>
      <c r="BN93" s="17"/>
      <c r="BO93" s="17"/>
      <c r="BP93" s="17"/>
      <c r="BQ93" s="17"/>
      <c r="BR93" s="17"/>
      <c r="BS93" s="17"/>
    </row>
    <row r="94" spans="1:71" ht="13.2">
      <c r="A94" s="19"/>
      <c r="B94" s="20"/>
      <c r="C94" s="20"/>
      <c r="D94" s="21"/>
      <c r="E94" s="20"/>
      <c r="F94" s="20"/>
      <c r="G94" s="22"/>
      <c r="H94" s="22"/>
      <c r="I94" s="20"/>
      <c r="J94" s="20"/>
      <c r="K94" s="20"/>
      <c r="L94" s="22"/>
      <c r="M94" s="22"/>
      <c r="N94" s="22"/>
      <c r="O94" s="22"/>
      <c r="P94" s="22"/>
      <c r="Q94" s="22"/>
      <c r="R94" s="22"/>
      <c r="S94" s="20"/>
      <c r="T94" s="20"/>
      <c r="U94" s="20"/>
      <c r="V94" s="22"/>
      <c r="W94" s="20"/>
      <c r="X94" s="22"/>
      <c r="Y94" s="22"/>
      <c r="Z94" s="22"/>
      <c r="AA94" s="22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19"/>
      <c r="BJ94" s="20"/>
      <c r="BK94" s="20"/>
      <c r="BL94" s="23"/>
      <c r="BM94" s="23"/>
      <c r="BN94" s="17"/>
      <c r="BO94" s="17"/>
      <c r="BP94" s="17"/>
      <c r="BQ94" s="17"/>
      <c r="BR94" s="17"/>
      <c r="BS94" s="17"/>
    </row>
    <row r="95" spans="1:71" ht="13.2">
      <c r="A95" s="19"/>
      <c r="B95" s="20"/>
      <c r="C95" s="20"/>
      <c r="D95" s="21"/>
      <c r="E95" s="20"/>
      <c r="F95" s="20"/>
      <c r="G95" s="22"/>
      <c r="H95" s="22"/>
      <c r="I95" s="20"/>
      <c r="J95" s="20"/>
      <c r="K95" s="20"/>
      <c r="L95" s="22"/>
      <c r="M95" s="22"/>
      <c r="N95" s="22"/>
      <c r="O95" s="22"/>
      <c r="P95" s="22"/>
      <c r="Q95" s="22"/>
      <c r="R95" s="22"/>
      <c r="S95" s="20"/>
      <c r="T95" s="20"/>
      <c r="U95" s="20"/>
      <c r="V95" s="22"/>
      <c r="W95" s="20"/>
      <c r="X95" s="22"/>
      <c r="Y95" s="22"/>
      <c r="Z95" s="22"/>
      <c r="AA95" s="22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19"/>
      <c r="BJ95" s="20"/>
      <c r="BK95" s="20"/>
      <c r="BL95" s="23"/>
      <c r="BM95" s="23"/>
      <c r="BN95" s="17"/>
      <c r="BO95" s="17"/>
      <c r="BP95" s="17"/>
      <c r="BQ95" s="17"/>
      <c r="BR95" s="17"/>
      <c r="BS95" s="17"/>
    </row>
    <row r="96" spans="1:71" ht="13.2">
      <c r="A96" s="19"/>
      <c r="B96" s="20"/>
      <c r="C96" s="20"/>
      <c r="D96" s="21"/>
      <c r="E96" s="20"/>
      <c r="F96" s="20"/>
      <c r="G96" s="22"/>
      <c r="H96" s="22"/>
      <c r="I96" s="20"/>
      <c r="J96" s="20"/>
      <c r="K96" s="20"/>
      <c r="L96" s="22"/>
      <c r="M96" s="22"/>
      <c r="N96" s="22"/>
      <c r="O96" s="22"/>
      <c r="P96" s="22"/>
      <c r="Q96" s="22"/>
      <c r="R96" s="22"/>
      <c r="S96" s="20"/>
      <c r="T96" s="20"/>
      <c r="U96" s="20"/>
      <c r="V96" s="22"/>
      <c r="W96" s="20"/>
      <c r="X96" s="22"/>
      <c r="Y96" s="22"/>
      <c r="Z96" s="22"/>
      <c r="AA96" s="22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19"/>
      <c r="BJ96" s="20"/>
      <c r="BK96" s="20"/>
      <c r="BL96" s="23"/>
      <c r="BM96" s="23"/>
      <c r="BN96" s="17"/>
      <c r="BO96" s="17"/>
      <c r="BP96" s="17"/>
      <c r="BQ96" s="17"/>
      <c r="BR96" s="17"/>
      <c r="BS96" s="17"/>
    </row>
    <row r="97" spans="1:71" ht="13.2">
      <c r="A97" s="19"/>
      <c r="B97" s="20"/>
      <c r="C97" s="20"/>
      <c r="D97" s="21"/>
      <c r="E97" s="20"/>
      <c r="F97" s="20"/>
      <c r="G97" s="22"/>
      <c r="H97" s="22"/>
      <c r="I97" s="20"/>
      <c r="J97" s="20"/>
      <c r="K97" s="20"/>
      <c r="L97" s="22"/>
      <c r="M97" s="22"/>
      <c r="N97" s="22"/>
      <c r="O97" s="22"/>
      <c r="P97" s="22"/>
      <c r="Q97" s="22"/>
      <c r="R97" s="22"/>
      <c r="S97" s="20"/>
      <c r="T97" s="20"/>
      <c r="U97" s="20"/>
      <c r="V97" s="22"/>
      <c r="W97" s="20"/>
      <c r="X97" s="22"/>
      <c r="Y97" s="22"/>
      <c r="Z97" s="22"/>
      <c r="AA97" s="22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19"/>
      <c r="BJ97" s="20"/>
      <c r="BK97" s="20"/>
      <c r="BL97" s="23"/>
      <c r="BM97" s="23"/>
      <c r="BN97" s="17"/>
      <c r="BO97" s="17"/>
      <c r="BP97" s="17"/>
      <c r="BQ97" s="17"/>
      <c r="BR97" s="17"/>
      <c r="BS97" s="17"/>
    </row>
    <row r="98" spans="1:71" ht="13.2">
      <c r="A98" s="19"/>
      <c r="B98" s="20"/>
      <c r="C98" s="20"/>
      <c r="D98" s="21"/>
      <c r="E98" s="20"/>
      <c r="F98" s="20"/>
      <c r="G98" s="22"/>
      <c r="H98" s="22"/>
      <c r="I98" s="20"/>
      <c r="J98" s="20"/>
      <c r="K98" s="20"/>
      <c r="L98" s="22"/>
      <c r="M98" s="22"/>
      <c r="N98" s="22"/>
      <c r="O98" s="22"/>
      <c r="P98" s="22"/>
      <c r="Q98" s="22"/>
      <c r="R98" s="22"/>
      <c r="S98" s="20"/>
      <c r="T98" s="20"/>
      <c r="U98" s="20"/>
      <c r="V98" s="22"/>
      <c r="W98" s="20"/>
      <c r="X98" s="22"/>
      <c r="Y98" s="22"/>
      <c r="Z98" s="22"/>
      <c r="AA98" s="22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19"/>
      <c r="BJ98" s="20"/>
      <c r="BK98" s="20"/>
      <c r="BL98" s="23"/>
      <c r="BM98" s="23"/>
      <c r="BN98" s="17"/>
      <c r="BO98" s="17"/>
      <c r="BP98" s="17"/>
      <c r="BQ98" s="17"/>
      <c r="BR98" s="17"/>
      <c r="BS98" s="17"/>
    </row>
    <row r="99" spans="1:71" ht="13.2">
      <c r="A99" s="19"/>
      <c r="B99" s="20"/>
      <c r="C99" s="20"/>
      <c r="D99" s="21"/>
      <c r="E99" s="20"/>
      <c r="F99" s="20"/>
      <c r="G99" s="22"/>
      <c r="H99" s="22"/>
      <c r="I99" s="20"/>
      <c r="J99" s="20"/>
      <c r="K99" s="20"/>
      <c r="L99" s="22"/>
      <c r="M99" s="22"/>
      <c r="N99" s="22"/>
      <c r="O99" s="22"/>
      <c r="P99" s="22"/>
      <c r="Q99" s="22"/>
      <c r="R99" s="22"/>
      <c r="S99" s="20"/>
      <c r="T99" s="20"/>
      <c r="U99" s="20"/>
      <c r="V99" s="22"/>
      <c r="W99" s="20"/>
      <c r="X99" s="22"/>
      <c r="Y99" s="22"/>
      <c r="Z99" s="22"/>
      <c r="AA99" s="22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19"/>
      <c r="BJ99" s="20"/>
      <c r="BK99" s="20"/>
      <c r="BL99" s="23"/>
      <c r="BM99" s="23"/>
      <c r="BN99" s="17"/>
      <c r="BO99" s="17"/>
      <c r="BP99" s="17"/>
      <c r="BQ99" s="17"/>
      <c r="BR99" s="17"/>
      <c r="BS99" s="17"/>
    </row>
    <row r="100" spans="1:71" ht="13.2">
      <c r="A100" s="19"/>
      <c r="B100" s="20"/>
      <c r="C100" s="20"/>
      <c r="D100" s="21"/>
      <c r="E100" s="20"/>
      <c r="F100" s="20"/>
      <c r="G100" s="22"/>
      <c r="H100" s="22"/>
      <c r="I100" s="20"/>
      <c r="J100" s="20"/>
      <c r="K100" s="20"/>
      <c r="L100" s="22"/>
      <c r="M100" s="22"/>
      <c r="N100" s="22"/>
      <c r="O100" s="22"/>
      <c r="P100" s="22"/>
      <c r="Q100" s="22"/>
      <c r="R100" s="22"/>
      <c r="S100" s="20"/>
      <c r="T100" s="20"/>
      <c r="U100" s="20"/>
      <c r="V100" s="22"/>
      <c r="W100" s="20"/>
      <c r="X100" s="22"/>
      <c r="Y100" s="22"/>
      <c r="Z100" s="22"/>
      <c r="AA100" s="22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19"/>
      <c r="BJ100" s="20"/>
      <c r="BK100" s="20"/>
      <c r="BL100" s="23"/>
      <c r="BM100" s="23"/>
      <c r="BN100" s="17"/>
      <c r="BO100" s="17"/>
      <c r="BP100" s="17"/>
      <c r="BQ100" s="17"/>
      <c r="BR100" s="17"/>
      <c r="BS100" s="17"/>
    </row>
    <row r="101" spans="1:71" ht="13.2">
      <c r="A101" s="19"/>
      <c r="B101" s="20"/>
      <c r="C101" s="20"/>
      <c r="D101" s="21"/>
      <c r="E101" s="20"/>
      <c r="F101" s="20"/>
      <c r="G101" s="22"/>
      <c r="H101" s="22"/>
      <c r="I101" s="20"/>
      <c r="J101" s="20"/>
      <c r="K101" s="20"/>
      <c r="L101" s="22"/>
      <c r="M101" s="22"/>
      <c r="N101" s="22"/>
      <c r="O101" s="22"/>
      <c r="P101" s="22"/>
      <c r="Q101" s="22"/>
      <c r="R101" s="22"/>
      <c r="S101" s="20"/>
      <c r="T101" s="20"/>
      <c r="U101" s="20"/>
      <c r="V101" s="22"/>
      <c r="W101" s="20"/>
      <c r="X101" s="22"/>
      <c r="Y101" s="22"/>
      <c r="Z101" s="22"/>
      <c r="AA101" s="22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19"/>
      <c r="BJ101" s="20"/>
      <c r="BK101" s="20"/>
      <c r="BL101" s="23"/>
      <c r="BM101" s="23"/>
      <c r="BN101" s="17"/>
      <c r="BO101" s="17"/>
      <c r="BP101" s="17"/>
      <c r="BQ101" s="17"/>
      <c r="BR101" s="17"/>
      <c r="BS101" s="17"/>
    </row>
    <row r="102" spans="1:71" ht="13.2">
      <c r="A102" s="19"/>
      <c r="B102" s="20"/>
      <c r="C102" s="20"/>
      <c r="D102" s="21"/>
      <c r="E102" s="20"/>
      <c r="F102" s="20"/>
      <c r="G102" s="22"/>
      <c r="H102" s="22"/>
      <c r="I102" s="20"/>
      <c r="J102" s="20"/>
      <c r="K102" s="20"/>
      <c r="L102" s="22"/>
      <c r="M102" s="22"/>
      <c r="N102" s="22"/>
      <c r="O102" s="22"/>
      <c r="P102" s="22"/>
      <c r="Q102" s="22"/>
      <c r="R102" s="22"/>
      <c r="S102" s="20"/>
      <c r="T102" s="20"/>
      <c r="U102" s="20"/>
      <c r="V102" s="22"/>
      <c r="W102" s="20"/>
      <c r="X102" s="22"/>
      <c r="Y102" s="22"/>
      <c r="Z102" s="22"/>
      <c r="AA102" s="22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19"/>
      <c r="BJ102" s="20"/>
      <c r="BK102" s="20"/>
      <c r="BL102" s="23"/>
      <c r="BM102" s="23"/>
      <c r="BN102" s="17"/>
      <c r="BO102" s="17"/>
      <c r="BP102" s="17"/>
      <c r="BQ102" s="17"/>
      <c r="BR102" s="17"/>
      <c r="BS102" s="17"/>
    </row>
    <row r="103" spans="1:71" ht="13.2">
      <c r="A103" s="19"/>
      <c r="B103" s="20"/>
      <c r="C103" s="20"/>
      <c r="D103" s="21"/>
      <c r="E103" s="20"/>
      <c r="F103" s="20"/>
      <c r="G103" s="22"/>
      <c r="H103" s="22"/>
      <c r="I103" s="20"/>
      <c r="J103" s="20"/>
      <c r="K103" s="20"/>
      <c r="L103" s="22"/>
      <c r="M103" s="22"/>
      <c r="N103" s="22"/>
      <c r="O103" s="22"/>
      <c r="P103" s="22"/>
      <c r="Q103" s="22"/>
      <c r="R103" s="22"/>
      <c r="S103" s="20"/>
      <c r="T103" s="20"/>
      <c r="U103" s="20"/>
      <c r="V103" s="22"/>
      <c r="W103" s="20"/>
      <c r="X103" s="22"/>
      <c r="Y103" s="22"/>
      <c r="Z103" s="22"/>
      <c r="AA103" s="22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19"/>
      <c r="BJ103" s="20"/>
      <c r="BK103" s="20"/>
      <c r="BL103" s="23"/>
      <c r="BM103" s="23"/>
      <c r="BN103" s="17"/>
      <c r="BO103" s="17"/>
      <c r="BP103" s="17"/>
      <c r="BQ103" s="17"/>
      <c r="BR103" s="17"/>
      <c r="BS103" s="17"/>
    </row>
    <row r="104" spans="1:71" ht="13.2">
      <c r="A104" s="19"/>
      <c r="B104" s="20"/>
      <c r="C104" s="20"/>
      <c r="D104" s="21"/>
      <c r="E104" s="20"/>
      <c r="F104" s="20"/>
      <c r="G104" s="22"/>
      <c r="H104" s="22"/>
      <c r="I104" s="20"/>
      <c r="J104" s="20"/>
      <c r="K104" s="20"/>
      <c r="L104" s="22"/>
      <c r="M104" s="22"/>
      <c r="N104" s="22"/>
      <c r="O104" s="22"/>
      <c r="P104" s="22"/>
      <c r="Q104" s="22"/>
      <c r="R104" s="22"/>
      <c r="S104" s="20"/>
      <c r="T104" s="20"/>
      <c r="U104" s="20"/>
      <c r="V104" s="22"/>
      <c r="W104" s="20"/>
      <c r="X104" s="22"/>
      <c r="Y104" s="22"/>
      <c r="Z104" s="22"/>
      <c r="AA104" s="22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19"/>
      <c r="BJ104" s="20"/>
      <c r="BK104" s="20"/>
      <c r="BL104" s="23"/>
      <c r="BM104" s="23"/>
      <c r="BN104" s="17"/>
      <c r="BO104" s="17"/>
      <c r="BP104" s="17"/>
      <c r="BQ104" s="17"/>
      <c r="BR104" s="17"/>
      <c r="BS104" s="17"/>
    </row>
    <row r="105" spans="1:71" ht="13.2">
      <c r="A105" s="19"/>
      <c r="B105" s="20"/>
      <c r="C105" s="20"/>
      <c r="D105" s="21"/>
      <c r="E105" s="20"/>
      <c r="F105" s="20"/>
      <c r="G105" s="22"/>
      <c r="H105" s="22"/>
      <c r="I105" s="20"/>
      <c r="J105" s="20"/>
      <c r="K105" s="20"/>
      <c r="L105" s="22"/>
      <c r="M105" s="22"/>
      <c r="N105" s="22"/>
      <c r="O105" s="22"/>
      <c r="P105" s="22"/>
      <c r="Q105" s="22"/>
      <c r="R105" s="22"/>
      <c r="S105" s="20"/>
      <c r="T105" s="20"/>
      <c r="U105" s="20"/>
      <c r="V105" s="22"/>
      <c r="W105" s="20"/>
      <c r="X105" s="22"/>
      <c r="Y105" s="22"/>
      <c r="Z105" s="22"/>
      <c r="AA105" s="22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19"/>
      <c r="BJ105" s="20"/>
      <c r="BK105" s="20"/>
      <c r="BL105" s="23"/>
      <c r="BM105" s="23"/>
      <c r="BN105" s="17"/>
      <c r="BO105" s="17"/>
      <c r="BP105" s="17"/>
      <c r="BQ105" s="17"/>
      <c r="BR105" s="17"/>
      <c r="BS105" s="17"/>
    </row>
    <row r="106" spans="1:71" ht="13.2">
      <c r="A106" s="19"/>
      <c r="B106" s="20"/>
      <c r="C106" s="20"/>
      <c r="D106" s="21"/>
      <c r="E106" s="20"/>
      <c r="F106" s="20"/>
      <c r="G106" s="22"/>
      <c r="H106" s="22"/>
      <c r="I106" s="20"/>
      <c r="J106" s="20"/>
      <c r="K106" s="20"/>
      <c r="L106" s="22"/>
      <c r="M106" s="22"/>
      <c r="N106" s="22"/>
      <c r="O106" s="22"/>
      <c r="P106" s="22"/>
      <c r="Q106" s="22"/>
      <c r="R106" s="22"/>
      <c r="S106" s="20"/>
      <c r="T106" s="20"/>
      <c r="U106" s="20"/>
      <c r="V106" s="22"/>
      <c r="W106" s="20"/>
      <c r="X106" s="22"/>
      <c r="Y106" s="22"/>
      <c r="Z106" s="22"/>
      <c r="AA106" s="22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19"/>
      <c r="BJ106" s="20"/>
      <c r="BK106" s="20"/>
      <c r="BL106" s="23"/>
      <c r="BM106" s="23"/>
      <c r="BN106" s="17"/>
      <c r="BO106" s="17"/>
      <c r="BP106" s="17"/>
      <c r="BQ106" s="17"/>
      <c r="BR106" s="17"/>
      <c r="BS106" s="17"/>
    </row>
    <row r="107" spans="1:71" ht="13.2">
      <c r="A107" s="19"/>
      <c r="B107" s="20"/>
      <c r="C107" s="20"/>
      <c r="D107" s="21"/>
      <c r="E107" s="20"/>
      <c r="F107" s="20"/>
      <c r="G107" s="22"/>
      <c r="H107" s="22"/>
      <c r="I107" s="20"/>
      <c r="J107" s="20"/>
      <c r="K107" s="20"/>
      <c r="L107" s="22"/>
      <c r="M107" s="22"/>
      <c r="N107" s="22"/>
      <c r="O107" s="22"/>
      <c r="P107" s="22"/>
      <c r="Q107" s="22"/>
      <c r="R107" s="22"/>
      <c r="S107" s="20"/>
      <c r="T107" s="20"/>
      <c r="U107" s="20"/>
      <c r="V107" s="22"/>
      <c r="W107" s="20"/>
      <c r="X107" s="22"/>
      <c r="Y107" s="22"/>
      <c r="Z107" s="22"/>
      <c r="AA107" s="22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19"/>
      <c r="BJ107" s="20"/>
      <c r="BK107" s="20"/>
      <c r="BL107" s="23"/>
      <c r="BM107" s="23"/>
      <c r="BN107" s="17"/>
      <c r="BO107" s="17"/>
      <c r="BP107" s="17"/>
      <c r="BQ107" s="17"/>
      <c r="BR107" s="17"/>
      <c r="BS107" s="17"/>
    </row>
    <row r="108" spans="1:71" ht="13.2">
      <c r="A108" s="19"/>
      <c r="B108" s="20"/>
      <c r="C108" s="20"/>
      <c r="D108" s="21"/>
      <c r="E108" s="20"/>
      <c r="F108" s="20"/>
      <c r="G108" s="22"/>
      <c r="H108" s="22"/>
      <c r="I108" s="20"/>
      <c r="J108" s="20"/>
      <c r="K108" s="20"/>
      <c r="L108" s="22"/>
      <c r="M108" s="22"/>
      <c r="N108" s="22"/>
      <c r="O108" s="22"/>
      <c r="P108" s="22"/>
      <c r="Q108" s="22"/>
      <c r="R108" s="22"/>
      <c r="S108" s="20"/>
      <c r="T108" s="20"/>
      <c r="U108" s="20"/>
      <c r="V108" s="22"/>
      <c r="W108" s="20"/>
      <c r="X108" s="22"/>
      <c r="Y108" s="22"/>
      <c r="Z108" s="22"/>
      <c r="AA108" s="22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19"/>
      <c r="BJ108" s="20"/>
      <c r="BK108" s="20"/>
      <c r="BL108" s="23"/>
      <c r="BM108" s="23"/>
      <c r="BN108" s="17"/>
      <c r="BO108" s="17"/>
      <c r="BP108" s="17"/>
      <c r="BQ108" s="17"/>
      <c r="BR108" s="17"/>
      <c r="BS108" s="17"/>
    </row>
    <row r="109" spans="1:71" ht="13.2">
      <c r="A109" s="19"/>
      <c r="B109" s="20"/>
      <c r="C109" s="20"/>
      <c r="D109" s="21"/>
      <c r="E109" s="20"/>
      <c r="F109" s="20"/>
      <c r="G109" s="22"/>
      <c r="H109" s="22"/>
      <c r="I109" s="20"/>
      <c r="J109" s="20"/>
      <c r="K109" s="20"/>
      <c r="L109" s="22"/>
      <c r="M109" s="22"/>
      <c r="N109" s="22"/>
      <c r="O109" s="22"/>
      <c r="P109" s="22"/>
      <c r="Q109" s="22"/>
      <c r="R109" s="22"/>
      <c r="S109" s="20"/>
      <c r="T109" s="20"/>
      <c r="U109" s="20"/>
      <c r="V109" s="22"/>
      <c r="W109" s="20"/>
      <c r="X109" s="22"/>
      <c r="Y109" s="22"/>
      <c r="Z109" s="22"/>
      <c r="AA109" s="22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19"/>
      <c r="BJ109" s="20"/>
      <c r="BK109" s="20"/>
      <c r="BL109" s="23"/>
      <c r="BM109" s="23"/>
      <c r="BN109" s="17"/>
      <c r="BO109" s="17"/>
      <c r="BP109" s="17"/>
      <c r="BQ109" s="17"/>
      <c r="BR109" s="17"/>
      <c r="BS109" s="17"/>
    </row>
    <row r="110" spans="1:71" ht="13.2">
      <c r="A110" s="19"/>
      <c r="B110" s="20"/>
      <c r="C110" s="20"/>
      <c r="D110" s="21"/>
      <c r="E110" s="20"/>
      <c r="F110" s="20"/>
      <c r="G110" s="22"/>
      <c r="H110" s="22"/>
      <c r="I110" s="20"/>
      <c r="J110" s="20"/>
      <c r="K110" s="20"/>
      <c r="L110" s="22"/>
      <c r="M110" s="22"/>
      <c r="N110" s="22"/>
      <c r="O110" s="22"/>
      <c r="P110" s="22"/>
      <c r="Q110" s="22"/>
      <c r="R110" s="22"/>
      <c r="S110" s="20"/>
      <c r="T110" s="20"/>
      <c r="U110" s="20"/>
      <c r="V110" s="22"/>
      <c r="W110" s="20"/>
      <c r="X110" s="22"/>
      <c r="Y110" s="22"/>
      <c r="Z110" s="22"/>
      <c r="AA110" s="22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19"/>
      <c r="BJ110" s="20"/>
      <c r="BK110" s="20"/>
      <c r="BL110" s="23"/>
      <c r="BM110" s="23"/>
      <c r="BN110" s="17"/>
      <c r="BO110" s="17"/>
      <c r="BP110" s="17"/>
      <c r="BQ110" s="17"/>
      <c r="BR110" s="17"/>
      <c r="BS110" s="17"/>
    </row>
    <row r="111" spans="1:71" ht="13.2">
      <c r="A111" s="19"/>
      <c r="B111" s="20"/>
      <c r="C111" s="20"/>
      <c r="D111" s="21"/>
      <c r="E111" s="20"/>
      <c r="F111" s="20"/>
      <c r="G111" s="22"/>
      <c r="H111" s="22"/>
      <c r="I111" s="20"/>
      <c r="J111" s="20"/>
      <c r="K111" s="20"/>
      <c r="L111" s="22"/>
      <c r="M111" s="22"/>
      <c r="N111" s="22"/>
      <c r="O111" s="22"/>
      <c r="P111" s="22"/>
      <c r="Q111" s="22"/>
      <c r="R111" s="22"/>
      <c r="S111" s="20"/>
      <c r="T111" s="20"/>
      <c r="U111" s="20"/>
      <c r="V111" s="22"/>
      <c r="W111" s="20"/>
      <c r="X111" s="22"/>
      <c r="Y111" s="22"/>
      <c r="Z111" s="22"/>
      <c r="AA111" s="22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19"/>
      <c r="BJ111" s="20"/>
      <c r="BK111" s="20"/>
      <c r="BL111" s="23"/>
      <c r="BM111" s="23"/>
      <c r="BN111" s="17"/>
      <c r="BO111" s="17"/>
      <c r="BP111" s="17"/>
      <c r="BQ111" s="17"/>
      <c r="BR111" s="17"/>
      <c r="BS111" s="17"/>
    </row>
    <row r="112" spans="1:71" ht="13.2">
      <c r="A112" s="19"/>
      <c r="B112" s="20"/>
      <c r="C112" s="20"/>
      <c r="D112" s="21"/>
      <c r="E112" s="20"/>
      <c r="F112" s="20"/>
      <c r="G112" s="22"/>
      <c r="H112" s="22"/>
      <c r="I112" s="20"/>
      <c r="J112" s="20"/>
      <c r="K112" s="20"/>
      <c r="L112" s="22"/>
      <c r="M112" s="22"/>
      <c r="N112" s="22"/>
      <c r="O112" s="22"/>
      <c r="P112" s="22"/>
      <c r="Q112" s="22"/>
      <c r="R112" s="22"/>
      <c r="S112" s="20"/>
      <c r="T112" s="20"/>
      <c r="U112" s="20"/>
      <c r="V112" s="22"/>
      <c r="W112" s="20"/>
      <c r="X112" s="22"/>
      <c r="Y112" s="22"/>
      <c r="Z112" s="22"/>
      <c r="AA112" s="22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19"/>
      <c r="BJ112" s="20"/>
      <c r="BK112" s="20"/>
      <c r="BL112" s="23"/>
      <c r="BM112" s="23"/>
      <c r="BN112" s="17"/>
      <c r="BO112" s="17"/>
      <c r="BP112" s="17"/>
      <c r="BQ112" s="17"/>
      <c r="BR112" s="17"/>
      <c r="BS112" s="17"/>
    </row>
    <row r="113" spans="1:71" ht="13.2">
      <c r="A113" s="19"/>
      <c r="B113" s="20"/>
      <c r="C113" s="20"/>
      <c r="D113" s="21"/>
      <c r="E113" s="20"/>
      <c r="F113" s="20"/>
      <c r="G113" s="22"/>
      <c r="H113" s="22"/>
      <c r="I113" s="20"/>
      <c r="J113" s="20"/>
      <c r="K113" s="20"/>
      <c r="L113" s="22"/>
      <c r="M113" s="22"/>
      <c r="N113" s="22"/>
      <c r="O113" s="22"/>
      <c r="P113" s="22"/>
      <c r="Q113" s="22"/>
      <c r="R113" s="22"/>
      <c r="S113" s="20"/>
      <c r="T113" s="20"/>
      <c r="U113" s="20"/>
      <c r="V113" s="22"/>
      <c r="W113" s="20"/>
      <c r="X113" s="22"/>
      <c r="Y113" s="22"/>
      <c r="Z113" s="22"/>
      <c r="AA113" s="22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19"/>
      <c r="BJ113" s="20"/>
      <c r="BK113" s="20"/>
      <c r="BL113" s="23"/>
      <c r="BM113" s="23"/>
      <c r="BN113" s="17"/>
      <c r="BO113" s="17"/>
      <c r="BP113" s="17"/>
      <c r="BQ113" s="17"/>
      <c r="BR113" s="17"/>
      <c r="BS113" s="17"/>
    </row>
    <row r="114" spans="1:71" ht="13.2">
      <c r="A114" s="19"/>
      <c r="B114" s="20"/>
      <c r="C114" s="20"/>
      <c r="D114" s="21"/>
      <c r="E114" s="20"/>
      <c r="F114" s="20"/>
      <c r="G114" s="22"/>
      <c r="H114" s="22"/>
      <c r="I114" s="20"/>
      <c r="J114" s="20"/>
      <c r="K114" s="20"/>
      <c r="L114" s="22"/>
      <c r="M114" s="22"/>
      <c r="N114" s="22"/>
      <c r="O114" s="22"/>
      <c r="P114" s="22"/>
      <c r="Q114" s="22"/>
      <c r="R114" s="22"/>
      <c r="S114" s="20"/>
      <c r="T114" s="20"/>
      <c r="U114" s="20"/>
      <c r="V114" s="22"/>
      <c r="W114" s="20"/>
      <c r="X114" s="22"/>
      <c r="Y114" s="22"/>
      <c r="Z114" s="22"/>
      <c r="AA114" s="22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19"/>
      <c r="BJ114" s="20"/>
      <c r="BK114" s="20"/>
      <c r="BL114" s="23"/>
      <c r="BM114" s="23"/>
      <c r="BN114" s="17"/>
      <c r="BO114" s="17"/>
      <c r="BP114" s="17"/>
      <c r="BQ114" s="17"/>
      <c r="BR114" s="17"/>
      <c r="BS114" s="17"/>
    </row>
    <row r="115" spans="1:71" ht="13.2">
      <c r="A115" s="19"/>
      <c r="B115" s="20"/>
      <c r="C115" s="20"/>
      <c r="D115" s="21"/>
      <c r="E115" s="20"/>
      <c r="F115" s="20"/>
      <c r="G115" s="22"/>
      <c r="H115" s="22"/>
      <c r="I115" s="20"/>
      <c r="J115" s="20"/>
      <c r="K115" s="20"/>
      <c r="L115" s="22"/>
      <c r="M115" s="22"/>
      <c r="N115" s="22"/>
      <c r="O115" s="22"/>
      <c r="P115" s="22"/>
      <c r="Q115" s="22"/>
      <c r="R115" s="22"/>
      <c r="S115" s="20"/>
      <c r="T115" s="20"/>
      <c r="U115" s="20"/>
      <c r="V115" s="22"/>
      <c r="W115" s="20"/>
      <c r="X115" s="22"/>
      <c r="Y115" s="22"/>
      <c r="Z115" s="22"/>
      <c r="AA115" s="22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19"/>
      <c r="BJ115" s="20"/>
      <c r="BK115" s="20"/>
      <c r="BL115" s="23"/>
      <c r="BM115" s="23"/>
      <c r="BN115" s="17"/>
      <c r="BO115" s="17"/>
      <c r="BP115" s="17"/>
      <c r="BQ115" s="17"/>
      <c r="BR115" s="17"/>
      <c r="BS115" s="17"/>
    </row>
    <row r="116" spans="1:71" ht="13.2">
      <c r="A116" s="19"/>
      <c r="B116" s="20"/>
      <c r="C116" s="20"/>
      <c r="D116" s="21"/>
      <c r="E116" s="20"/>
      <c r="F116" s="20"/>
      <c r="G116" s="22"/>
      <c r="H116" s="22"/>
      <c r="I116" s="20"/>
      <c r="J116" s="20"/>
      <c r="K116" s="20"/>
      <c r="L116" s="22"/>
      <c r="M116" s="22"/>
      <c r="N116" s="22"/>
      <c r="O116" s="22"/>
      <c r="P116" s="22"/>
      <c r="Q116" s="22"/>
      <c r="R116" s="22"/>
      <c r="S116" s="20"/>
      <c r="T116" s="20"/>
      <c r="U116" s="20"/>
      <c r="V116" s="22"/>
      <c r="W116" s="20"/>
      <c r="X116" s="22"/>
      <c r="Y116" s="22"/>
      <c r="Z116" s="22"/>
      <c r="AA116" s="22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19"/>
      <c r="BJ116" s="20"/>
      <c r="BK116" s="20"/>
      <c r="BL116" s="23"/>
      <c r="BM116" s="23"/>
      <c r="BN116" s="17"/>
      <c r="BO116" s="17"/>
      <c r="BP116" s="17"/>
      <c r="BQ116" s="17"/>
      <c r="BR116" s="17"/>
      <c r="BS116" s="17"/>
    </row>
    <row r="117" spans="1:71" ht="13.2">
      <c r="A117" s="19"/>
      <c r="B117" s="20"/>
      <c r="C117" s="20"/>
      <c r="D117" s="21"/>
      <c r="E117" s="20"/>
      <c r="F117" s="20"/>
      <c r="G117" s="22"/>
      <c r="H117" s="22"/>
      <c r="I117" s="20"/>
      <c r="J117" s="20"/>
      <c r="K117" s="20"/>
      <c r="L117" s="22"/>
      <c r="M117" s="22"/>
      <c r="N117" s="22"/>
      <c r="O117" s="22"/>
      <c r="P117" s="22"/>
      <c r="Q117" s="22"/>
      <c r="R117" s="22"/>
      <c r="S117" s="20"/>
      <c r="T117" s="20"/>
      <c r="U117" s="20"/>
      <c r="V117" s="22"/>
      <c r="W117" s="20"/>
      <c r="X117" s="22"/>
      <c r="Y117" s="22"/>
      <c r="Z117" s="22"/>
      <c r="AA117" s="22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19"/>
      <c r="BJ117" s="20"/>
      <c r="BK117" s="20"/>
      <c r="BL117" s="23"/>
      <c r="BM117" s="23"/>
      <c r="BN117" s="17"/>
      <c r="BO117" s="17"/>
      <c r="BP117" s="17"/>
      <c r="BQ117" s="17"/>
      <c r="BR117" s="17"/>
      <c r="BS117" s="17"/>
    </row>
    <row r="118" spans="1:71" ht="13.2">
      <c r="A118" s="19"/>
      <c r="B118" s="20"/>
      <c r="C118" s="20"/>
      <c r="D118" s="21"/>
      <c r="E118" s="20"/>
      <c r="F118" s="20"/>
      <c r="G118" s="22"/>
      <c r="H118" s="22"/>
      <c r="I118" s="20"/>
      <c r="J118" s="20"/>
      <c r="K118" s="20"/>
      <c r="L118" s="22"/>
      <c r="M118" s="22"/>
      <c r="N118" s="22"/>
      <c r="O118" s="22"/>
      <c r="P118" s="22"/>
      <c r="Q118" s="22"/>
      <c r="R118" s="22"/>
      <c r="S118" s="20"/>
      <c r="T118" s="20"/>
      <c r="U118" s="20"/>
      <c r="V118" s="22"/>
      <c r="W118" s="20"/>
      <c r="X118" s="22"/>
      <c r="Y118" s="22"/>
      <c r="Z118" s="22"/>
      <c r="AA118" s="22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19"/>
      <c r="BJ118" s="20"/>
      <c r="BK118" s="20"/>
      <c r="BL118" s="23"/>
      <c r="BM118" s="23"/>
      <c r="BN118" s="17"/>
      <c r="BO118" s="17"/>
      <c r="BP118" s="17"/>
      <c r="BQ118" s="17"/>
      <c r="BR118" s="17"/>
      <c r="BS118" s="17"/>
    </row>
    <row r="119" spans="1:71" ht="13.2">
      <c r="A119" s="19"/>
      <c r="B119" s="20"/>
      <c r="C119" s="20"/>
      <c r="D119" s="21"/>
      <c r="E119" s="20"/>
      <c r="F119" s="20"/>
      <c r="G119" s="22"/>
      <c r="H119" s="22"/>
      <c r="I119" s="20"/>
      <c r="J119" s="20"/>
      <c r="K119" s="20"/>
      <c r="L119" s="22"/>
      <c r="M119" s="22"/>
      <c r="N119" s="22"/>
      <c r="O119" s="22"/>
      <c r="P119" s="22"/>
      <c r="Q119" s="22"/>
      <c r="R119" s="22"/>
      <c r="S119" s="20"/>
      <c r="T119" s="20"/>
      <c r="U119" s="20"/>
      <c r="V119" s="22"/>
      <c r="W119" s="20"/>
      <c r="X119" s="22"/>
      <c r="Y119" s="22"/>
      <c r="Z119" s="22"/>
      <c r="AA119" s="22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19"/>
      <c r="BJ119" s="20"/>
      <c r="BK119" s="20"/>
      <c r="BL119" s="23"/>
      <c r="BM119" s="23"/>
      <c r="BN119" s="17"/>
      <c r="BO119" s="17"/>
      <c r="BP119" s="17"/>
      <c r="BQ119" s="17"/>
      <c r="BR119" s="17"/>
      <c r="BS119" s="17"/>
    </row>
    <row r="120" spans="1:71" ht="13.2">
      <c r="A120" s="19"/>
      <c r="B120" s="20"/>
      <c r="C120" s="20"/>
      <c r="D120" s="21"/>
      <c r="E120" s="20"/>
      <c r="F120" s="20"/>
      <c r="G120" s="22"/>
      <c r="H120" s="22"/>
      <c r="I120" s="20"/>
      <c r="J120" s="20"/>
      <c r="K120" s="20"/>
      <c r="L120" s="22"/>
      <c r="M120" s="22"/>
      <c r="N120" s="22"/>
      <c r="O120" s="22"/>
      <c r="P120" s="22"/>
      <c r="Q120" s="22"/>
      <c r="R120" s="22"/>
      <c r="S120" s="20"/>
      <c r="T120" s="20"/>
      <c r="U120" s="20"/>
      <c r="V120" s="22"/>
      <c r="W120" s="20"/>
      <c r="X120" s="22"/>
      <c r="Y120" s="22"/>
      <c r="Z120" s="22"/>
      <c r="AA120" s="22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19"/>
      <c r="BJ120" s="20"/>
      <c r="BK120" s="20"/>
      <c r="BL120" s="23"/>
      <c r="BM120" s="23"/>
      <c r="BN120" s="17"/>
      <c r="BO120" s="17"/>
      <c r="BP120" s="17"/>
      <c r="BQ120" s="17"/>
      <c r="BR120" s="17"/>
      <c r="BS120" s="17"/>
    </row>
    <row r="121" spans="1:71" ht="13.2">
      <c r="A121" s="19"/>
      <c r="B121" s="20"/>
      <c r="C121" s="20"/>
      <c r="D121" s="21"/>
      <c r="E121" s="20"/>
      <c r="F121" s="20"/>
      <c r="G121" s="22"/>
      <c r="H121" s="22"/>
      <c r="I121" s="20"/>
      <c r="J121" s="20"/>
      <c r="K121" s="20"/>
      <c r="L121" s="22"/>
      <c r="M121" s="22"/>
      <c r="N121" s="22"/>
      <c r="O121" s="22"/>
      <c r="P121" s="22"/>
      <c r="Q121" s="22"/>
      <c r="R121" s="22"/>
      <c r="S121" s="20"/>
      <c r="T121" s="20"/>
      <c r="U121" s="20"/>
      <c r="V121" s="22"/>
      <c r="W121" s="20"/>
      <c r="X121" s="22"/>
      <c r="Y121" s="22"/>
      <c r="Z121" s="22"/>
      <c r="AA121" s="22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19"/>
      <c r="BJ121" s="20"/>
      <c r="BK121" s="20"/>
      <c r="BL121" s="23"/>
      <c r="BM121" s="23"/>
      <c r="BN121" s="17"/>
      <c r="BO121" s="17"/>
      <c r="BP121" s="17"/>
      <c r="BQ121" s="17"/>
      <c r="BR121" s="17"/>
      <c r="BS121" s="17"/>
    </row>
    <row r="122" spans="1:71" ht="13.2">
      <c r="A122" s="19"/>
      <c r="B122" s="20"/>
      <c r="C122" s="20"/>
      <c r="D122" s="21"/>
      <c r="E122" s="20"/>
      <c r="F122" s="20"/>
      <c r="G122" s="22"/>
      <c r="H122" s="22"/>
      <c r="I122" s="20"/>
      <c r="J122" s="20"/>
      <c r="K122" s="20"/>
      <c r="L122" s="22"/>
      <c r="M122" s="22"/>
      <c r="N122" s="22"/>
      <c r="O122" s="22"/>
      <c r="P122" s="22"/>
      <c r="Q122" s="22"/>
      <c r="R122" s="22"/>
      <c r="S122" s="20"/>
      <c r="T122" s="20"/>
      <c r="U122" s="20"/>
      <c r="V122" s="22"/>
      <c r="W122" s="20"/>
      <c r="X122" s="22"/>
      <c r="Y122" s="22"/>
      <c r="Z122" s="22"/>
      <c r="AA122" s="22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19"/>
      <c r="BJ122" s="20"/>
      <c r="BK122" s="20"/>
      <c r="BL122" s="23"/>
      <c r="BM122" s="23"/>
      <c r="BN122" s="17"/>
      <c r="BO122" s="17"/>
      <c r="BP122" s="17"/>
      <c r="BQ122" s="17"/>
      <c r="BR122" s="17"/>
      <c r="BS122" s="17"/>
    </row>
    <row r="123" spans="1:71" ht="13.2">
      <c r="A123" s="19"/>
      <c r="B123" s="20"/>
      <c r="C123" s="20"/>
      <c r="D123" s="21"/>
      <c r="E123" s="20"/>
      <c r="F123" s="20"/>
      <c r="G123" s="22"/>
      <c r="H123" s="22"/>
      <c r="I123" s="20"/>
      <c r="J123" s="20"/>
      <c r="K123" s="20"/>
      <c r="L123" s="22"/>
      <c r="M123" s="22"/>
      <c r="N123" s="22"/>
      <c r="O123" s="22"/>
      <c r="P123" s="22"/>
      <c r="Q123" s="22"/>
      <c r="R123" s="22"/>
      <c r="S123" s="20"/>
      <c r="T123" s="20"/>
      <c r="U123" s="20"/>
      <c r="V123" s="22"/>
      <c r="W123" s="20"/>
      <c r="X123" s="22"/>
      <c r="Y123" s="22"/>
      <c r="Z123" s="22"/>
      <c r="AA123" s="22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19"/>
      <c r="BJ123" s="20"/>
      <c r="BK123" s="20"/>
      <c r="BL123" s="23"/>
      <c r="BM123" s="23"/>
      <c r="BN123" s="17"/>
      <c r="BO123" s="17"/>
      <c r="BP123" s="17"/>
      <c r="BQ123" s="17"/>
      <c r="BR123" s="17"/>
      <c r="BS123" s="17"/>
    </row>
    <row r="124" spans="1:71" ht="13.2">
      <c r="A124" s="19"/>
      <c r="B124" s="20"/>
      <c r="C124" s="20"/>
      <c r="D124" s="21"/>
      <c r="E124" s="20"/>
      <c r="F124" s="20"/>
      <c r="G124" s="22"/>
      <c r="H124" s="22"/>
      <c r="I124" s="20"/>
      <c r="J124" s="20"/>
      <c r="K124" s="20"/>
      <c r="L124" s="22"/>
      <c r="M124" s="22"/>
      <c r="N124" s="22"/>
      <c r="O124" s="22"/>
      <c r="P124" s="22"/>
      <c r="Q124" s="22"/>
      <c r="R124" s="22"/>
      <c r="S124" s="20"/>
      <c r="T124" s="20"/>
      <c r="U124" s="20"/>
      <c r="V124" s="22"/>
      <c r="W124" s="20"/>
      <c r="X124" s="22"/>
      <c r="Y124" s="22"/>
      <c r="Z124" s="22"/>
      <c r="AA124" s="22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19"/>
      <c r="BJ124" s="20"/>
      <c r="BK124" s="20"/>
      <c r="BL124" s="23"/>
      <c r="BM124" s="23"/>
      <c r="BN124" s="17"/>
      <c r="BO124" s="17"/>
      <c r="BP124" s="17"/>
      <c r="BQ124" s="17"/>
      <c r="BR124" s="17"/>
      <c r="BS124" s="17"/>
    </row>
    <row r="125" spans="1:71" ht="13.2">
      <c r="A125" s="19"/>
      <c r="B125" s="20"/>
      <c r="C125" s="20"/>
      <c r="D125" s="21"/>
      <c r="E125" s="20"/>
      <c r="F125" s="20"/>
      <c r="G125" s="22"/>
      <c r="H125" s="22"/>
      <c r="I125" s="20"/>
      <c r="J125" s="20"/>
      <c r="K125" s="20"/>
      <c r="L125" s="22"/>
      <c r="M125" s="22"/>
      <c r="N125" s="22"/>
      <c r="O125" s="22"/>
      <c r="P125" s="22"/>
      <c r="Q125" s="22"/>
      <c r="R125" s="22"/>
      <c r="S125" s="20"/>
      <c r="T125" s="20"/>
      <c r="U125" s="20"/>
      <c r="V125" s="22"/>
      <c r="W125" s="20"/>
      <c r="X125" s="22"/>
      <c r="Y125" s="22"/>
      <c r="Z125" s="22"/>
      <c r="AA125" s="22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19"/>
      <c r="BJ125" s="20"/>
      <c r="BK125" s="20"/>
      <c r="BL125" s="23"/>
      <c r="BM125" s="23"/>
      <c r="BN125" s="17"/>
      <c r="BO125" s="17"/>
      <c r="BP125" s="17"/>
      <c r="BQ125" s="17"/>
      <c r="BR125" s="17"/>
      <c r="BS125" s="17"/>
    </row>
    <row r="126" spans="1:71" ht="13.2">
      <c r="A126" s="19"/>
      <c r="B126" s="20"/>
      <c r="C126" s="20"/>
      <c r="D126" s="21"/>
      <c r="E126" s="20"/>
      <c r="F126" s="20"/>
      <c r="G126" s="22"/>
      <c r="H126" s="22"/>
      <c r="I126" s="20"/>
      <c r="J126" s="20"/>
      <c r="K126" s="20"/>
      <c r="L126" s="22"/>
      <c r="M126" s="22"/>
      <c r="N126" s="22"/>
      <c r="O126" s="22"/>
      <c r="P126" s="22"/>
      <c r="Q126" s="22"/>
      <c r="R126" s="22"/>
      <c r="S126" s="20"/>
      <c r="T126" s="20"/>
      <c r="U126" s="20"/>
      <c r="V126" s="22"/>
      <c r="W126" s="20"/>
      <c r="X126" s="22"/>
      <c r="Y126" s="22"/>
      <c r="Z126" s="22"/>
      <c r="AA126" s="22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19"/>
      <c r="BJ126" s="20"/>
      <c r="BK126" s="20"/>
      <c r="BL126" s="23"/>
      <c r="BM126" s="23"/>
      <c r="BN126" s="17"/>
      <c r="BO126" s="17"/>
      <c r="BP126" s="17"/>
      <c r="BQ126" s="17"/>
      <c r="BR126" s="17"/>
      <c r="BS126" s="17"/>
    </row>
    <row r="127" spans="1:71" ht="13.2">
      <c r="A127" s="19"/>
      <c r="B127" s="20"/>
      <c r="C127" s="20"/>
      <c r="D127" s="21"/>
      <c r="E127" s="20"/>
      <c r="F127" s="20"/>
      <c r="G127" s="22"/>
      <c r="H127" s="22"/>
      <c r="I127" s="20"/>
      <c r="J127" s="20"/>
      <c r="K127" s="20"/>
      <c r="L127" s="22"/>
      <c r="M127" s="22"/>
      <c r="N127" s="22"/>
      <c r="O127" s="22"/>
      <c r="P127" s="22"/>
      <c r="Q127" s="22"/>
      <c r="R127" s="22"/>
      <c r="S127" s="20"/>
      <c r="T127" s="20"/>
      <c r="U127" s="20"/>
      <c r="V127" s="22"/>
      <c r="W127" s="20"/>
      <c r="X127" s="22"/>
      <c r="Y127" s="22"/>
      <c r="Z127" s="22"/>
      <c r="AA127" s="22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19"/>
      <c r="BJ127" s="20"/>
      <c r="BK127" s="20"/>
      <c r="BL127" s="23"/>
      <c r="BM127" s="23"/>
      <c r="BN127" s="17"/>
      <c r="BO127" s="17"/>
      <c r="BP127" s="17"/>
      <c r="BQ127" s="17"/>
      <c r="BR127" s="17"/>
      <c r="BS127" s="17"/>
    </row>
    <row r="128" spans="1:71" ht="13.2">
      <c r="A128" s="19"/>
      <c r="B128" s="20"/>
      <c r="C128" s="20"/>
      <c r="D128" s="21"/>
      <c r="E128" s="20"/>
      <c r="F128" s="20"/>
      <c r="G128" s="22"/>
      <c r="H128" s="22"/>
      <c r="I128" s="20"/>
      <c r="J128" s="20"/>
      <c r="K128" s="20"/>
      <c r="L128" s="22"/>
      <c r="M128" s="22"/>
      <c r="N128" s="22"/>
      <c r="O128" s="22"/>
      <c r="P128" s="22"/>
      <c r="Q128" s="22"/>
      <c r="R128" s="22"/>
      <c r="S128" s="20"/>
      <c r="T128" s="20"/>
      <c r="U128" s="20"/>
      <c r="V128" s="22"/>
      <c r="W128" s="20"/>
      <c r="X128" s="22"/>
      <c r="Y128" s="22"/>
      <c r="Z128" s="22"/>
      <c r="AA128" s="22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19"/>
      <c r="BJ128" s="20"/>
      <c r="BK128" s="20"/>
      <c r="BL128" s="23"/>
      <c r="BM128" s="23"/>
      <c r="BN128" s="17"/>
      <c r="BO128" s="17"/>
      <c r="BP128" s="17"/>
      <c r="BQ128" s="17"/>
      <c r="BR128" s="17"/>
      <c r="BS128" s="17"/>
    </row>
    <row r="129" spans="1:71" ht="13.2">
      <c r="A129" s="19"/>
      <c r="B129" s="20"/>
      <c r="C129" s="20"/>
      <c r="D129" s="21"/>
      <c r="E129" s="20"/>
      <c r="F129" s="20"/>
      <c r="G129" s="22"/>
      <c r="H129" s="22"/>
      <c r="I129" s="20"/>
      <c r="J129" s="20"/>
      <c r="K129" s="20"/>
      <c r="L129" s="22"/>
      <c r="M129" s="22"/>
      <c r="N129" s="22"/>
      <c r="O129" s="22"/>
      <c r="P129" s="22"/>
      <c r="Q129" s="22"/>
      <c r="R129" s="22"/>
      <c r="S129" s="20"/>
      <c r="T129" s="20"/>
      <c r="U129" s="20"/>
      <c r="V129" s="22"/>
      <c r="W129" s="20"/>
      <c r="X129" s="22"/>
      <c r="Y129" s="22"/>
      <c r="Z129" s="22"/>
      <c r="AA129" s="22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19"/>
      <c r="BJ129" s="20"/>
      <c r="BK129" s="20"/>
      <c r="BL129" s="23"/>
      <c r="BM129" s="23"/>
      <c r="BN129" s="17"/>
      <c r="BO129" s="17"/>
      <c r="BP129" s="17"/>
      <c r="BQ129" s="17"/>
      <c r="BR129" s="17"/>
      <c r="BS129" s="17"/>
    </row>
    <row r="130" spans="1:71" ht="13.2">
      <c r="A130" s="19"/>
      <c r="B130" s="20"/>
      <c r="C130" s="20"/>
      <c r="D130" s="21"/>
      <c r="E130" s="20"/>
      <c r="F130" s="20"/>
      <c r="G130" s="22"/>
      <c r="H130" s="22"/>
      <c r="I130" s="20"/>
      <c r="J130" s="20"/>
      <c r="K130" s="20"/>
      <c r="L130" s="22"/>
      <c r="M130" s="22"/>
      <c r="N130" s="22"/>
      <c r="O130" s="22"/>
      <c r="P130" s="22"/>
      <c r="Q130" s="22"/>
      <c r="R130" s="22"/>
      <c r="S130" s="20"/>
      <c r="T130" s="20"/>
      <c r="U130" s="20"/>
      <c r="V130" s="22"/>
      <c r="W130" s="20"/>
      <c r="X130" s="22"/>
      <c r="Y130" s="22"/>
      <c r="Z130" s="22"/>
      <c r="AA130" s="22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19"/>
      <c r="BJ130" s="20"/>
      <c r="BK130" s="20"/>
      <c r="BL130" s="23"/>
      <c r="BM130" s="23"/>
      <c r="BN130" s="17"/>
      <c r="BO130" s="17"/>
      <c r="BP130" s="17"/>
      <c r="BQ130" s="17"/>
      <c r="BR130" s="17"/>
      <c r="BS130" s="17"/>
    </row>
    <row r="131" spans="1:71" ht="13.2">
      <c r="A131" s="19"/>
      <c r="B131" s="20"/>
      <c r="C131" s="20"/>
      <c r="D131" s="21"/>
      <c r="E131" s="20"/>
      <c r="F131" s="20"/>
      <c r="G131" s="22"/>
      <c r="H131" s="22"/>
      <c r="I131" s="20"/>
      <c r="J131" s="20"/>
      <c r="K131" s="20"/>
      <c r="L131" s="22"/>
      <c r="M131" s="22"/>
      <c r="N131" s="22"/>
      <c r="O131" s="22"/>
      <c r="P131" s="22"/>
      <c r="Q131" s="22"/>
      <c r="R131" s="22"/>
      <c r="S131" s="20"/>
      <c r="T131" s="20"/>
      <c r="U131" s="20"/>
      <c r="V131" s="22"/>
      <c r="W131" s="20"/>
      <c r="X131" s="22"/>
      <c r="Y131" s="22"/>
      <c r="Z131" s="22"/>
      <c r="AA131" s="22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19"/>
      <c r="BJ131" s="20"/>
      <c r="BK131" s="20"/>
      <c r="BL131" s="23"/>
      <c r="BM131" s="23"/>
      <c r="BN131" s="17"/>
      <c r="BO131" s="17"/>
      <c r="BP131" s="17"/>
      <c r="BQ131" s="17"/>
      <c r="BR131" s="17"/>
      <c r="BS131" s="17"/>
    </row>
    <row r="132" spans="1:71" ht="13.2">
      <c r="A132" s="19"/>
      <c r="B132" s="20"/>
      <c r="C132" s="20"/>
      <c r="D132" s="21"/>
      <c r="E132" s="20"/>
      <c r="F132" s="20"/>
      <c r="G132" s="22"/>
      <c r="H132" s="22"/>
      <c r="I132" s="20"/>
      <c r="J132" s="20"/>
      <c r="K132" s="20"/>
      <c r="L132" s="22"/>
      <c r="M132" s="22"/>
      <c r="N132" s="22"/>
      <c r="O132" s="22"/>
      <c r="P132" s="22"/>
      <c r="Q132" s="22"/>
      <c r="R132" s="22"/>
      <c r="S132" s="20"/>
      <c r="T132" s="20"/>
      <c r="U132" s="20"/>
      <c r="V132" s="22"/>
      <c r="W132" s="20"/>
      <c r="X132" s="22"/>
      <c r="Y132" s="22"/>
      <c r="Z132" s="22"/>
      <c r="AA132" s="22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19"/>
      <c r="BJ132" s="20"/>
      <c r="BK132" s="20"/>
      <c r="BL132" s="23"/>
      <c r="BM132" s="23"/>
      <c r="BN132" s="17"/>
      <c r="BO132" s="17"/>
      <c r="BP132" s="17"/>
      <c r="BQ132" s="17"/>
      <c r="BR132" s="17"/>
      <c r="BS132" s="17"/>
    </row>
    <row r="133" spans="1:71" ht="13.2">
      <c r="A133" s="19"/>
      <c r="B133" s="20"/>
      <c r="C133" s="20"/>
      <c r="D133" s="21"/>
      <c r="E133" s="20"/>
      <c r="F133" s="20"/>
      <c r="G133" s="22"/>
      <c r="H133" s="22"/>
      <c r="I133" s="20"/>
      <c r="J133" s="20"/>
      <c r="K133" s="20"/>
      <c r="L133" s="22"/>
      <c r="M133" s="22"/>
      <c r="N133" s="22"/>
      <c r="O133" s="22"/>
      <c r="P133" s="22"/>
      <c r="Q133" s="22"/>
      <c r="R133" s="22"/>
      <c r="S133" s="20"/>
      <c r="T133" s="20"/>
      <c r="U133" s="20"/>
      <c r="V133" s="22"/>
      <c r="W133" s="20"/>
      <c r="X133" s="22"/>
      <c r="Y133" s="22"/>
      <c r="Z133" s="22"/>
      <c r="AA133" s="22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19"/>
      <c r="BJ133" s="20"/>
      <c r="BK133" s="20"/>
      <c r="BL133" s="23"/>
      <c r="BM133" s="23"/>
      <c r="BN133" s="17"/>
      <c r="BO133" s="17"/>
      <c r="BP133" s="17"/>
      <c r="BQ133" s="17"/>
      <c r="BR133" s="17"/>
      <c r="BS133" s="17"/>
    </row>
    <row r="134" spans="1:71" ht="13.2">
      <c r="A134" s="19"/>
      <c r="B134" s="20"/>
      <c r="C134" s="20"/>
      <c r="D134" s="21"/>
      <c r="E134" s="20"/>
      <c r="F134" s="20"/>
      <c r="G134" s="22"/>
      <c r="H134" s="22"/>
      <c r="I134" s="20"/>
      <c r="J134" s="20"/>
      <c r="K134" s="20"/>
      <c r="L134" s="22"/>
      <c r="M134" s="22"/>
      <c r="N134" s="22"/>
      <c r="O134" s="22"/>
      <c r="P134" s="22"/>
      <c r="Q134" s="22"/>
      <c r="R134" s="22"/>
      <c r="S134" s="20"/>
      <c r="T134" s="20"/>
      <c r="U134" s="20"/>
      <c r="V134" s="22"/>
      <c r="W134" s="20"/>
      <c r="X134" s="22"/>
      <c r="Y134" s="22"/>
      <c r="Z134" s="22"/>
      <c r="AA134" s="22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19"/>
      <c r="BJ134" s="20"/>
      <c r="BK134" s="20"/>
      <c r="BL134" s="23"/>
      <c r="BM134" s="23"/>
      <c r="BN134" s="17"/>
      <c r="BO134" s="17"/>
      <c r="BP134" s="17"/>
      <c r="BQ134" s="17"/>
      <c r="BR134" s="17"/>
      <c r="BS134" s="17"/>
    </row>
    <row r="135" spans="1:71" ht="13.2">
      <c r="A135" s="19"/>
      <c r="B135" s="20"/>
      <c r="C135" s="20"/>
      <c r="D135" s="21"/>
      <c r="E135" s="20"/>
      <c r="F135" s="20"/>
      <c r="G135" s="22"/>
      <c r="H135" s="22"/>
      <c r="I135" s="20"/>
      <c r="J135" s="20"/>
      <c r="K135" s="20"/>
      <c r="L135" s="22"/>
      <c r="M135" s="22"/>
      <c r="N135" s="22"/>
      <c r="O135" s="22"/>
      <c r="P135" s="22"/>
      <c r="Q135" s="22"/>
      <c r="R135" s="22"/>
      <c r="S135" s="20"/>
      <c r="T135" s="20"/>
      <c r="U135" s="20"/>
      <c r="V135" s="22"/>
      <c r="W135" s="20"/>
      <c r="X135" s="22"/>
      <c r="Y135" s="22"/>
      <c r="Z135" s="22"/>
      <c r="AA135" s="22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19"/>
      <c r="BJ135" s="20"/>
      <c r="BK135" s="20"/>
      <c r="BL135" s="23"/>
      <c r="BM135" s="23"/>
      <c r="BN135" s="17"/>
      <c r="BO135" s="17"/>
      <c r="BP135" s="17"/>
      <c r="BQ135" s="17"/>
      <c r="BR135" s="17"/>
      <c r="BS135" s="17"/>
    </row>
    <row r="136" spans="1:71" ht="13.2">
      <c r="A136" s="19"/>
      <c r="B136" s="20"/>
      <c r="C136" s="20"/>
      <c r="D136" s="21"/>
      <c r="E136" s="20"/>
      <c r="F136" s="20"/>
      <c r="G136" s="22"/>
      <c r="H136" s="22"/>
      <c r="I136" s="20"/>
      <c r="J136" s="20"/>
      <c r="K136" s="20"/>
      <c r="L136" s="22"/>
      <c r="M136" s="22"/>
      <c r="N136" s="22"/>
      <c r="O136" s="22"/>
      <c r="P136" s="22"/>
      <c r="Q136" s="22"/>
      <c r="R136" s="22"/>
      <c r="S136" s="20"/>
      <c r="T136" s="20"/>
      <c r="U136" s="20"/>
      <c r="V136" s="22"/>
      <c r="W136" s="20"/>
      <c r="X136" s="22"/>
      <c r="Y136" s="22"/>
      <c r="Z136" s="22"/>
      <c r="AA136" s="22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19"/>
      <c r="BJ136" s="20"/>
      <c r="BK136" s="20"/>
      <c r="BL136" s="23"/>
      <c r="BM136" s="23"/>
      <c r="BN136" s="17"/>
      <c r="BO136" s="17"/>
      <c r="BP136" s="17"/>
      <c r="BQ136" s="17"/>
      <c r="BR136" s="17"/>
      <c r="BS136" s="17"/>
    </row>
    <row r="137" spans="1:71" ht="13.2">
      <c r="A137" s="19"/>
      <c r="B137" s="20"/>
      <c r="C137" s="20"/>
      <c r="D137" s="21"/>
      <c r="E137" s="20"/>
      <c r="F137" s="20"/>
      <c r="G137" s="22"/>
      <c r="H137" s="22"/>
      <c r="I137" s="20"/>
      <c r="J137" s="20"/>
      <c r="K137" s="20"/>
      <c r="L137" s="22"/>
      <c r="M137" s="22"/>
      <c r="N137" s="22"/>
      <c r="O137" s="22"/>
      <c r="P137" s="22"/>
      <c r="Q137" s="22"/>
      <c r="R137" s="22"/>
      <c r="S137" s="20"/>
      <c r="T137" s="20"/>
      <c r="U137" s="20"/>
      <c r="V137" s="22"/>
      <c r="W137" s="20"/>
      <c r="X137" s="22"/>
      <c r="Y137" s="22"/>
      <c r="Z137" s="22"/>
      <c r="AA137" s="22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19"/>
      <c r="BJ137" s="20"/>
      <c r="BK137" s="20"/>
      <c r="BL137" s="23"/>
      <c r="BM137" s="23"/>
      <c r="BN137" s="17"/>
      <c r="BO137" s="17"/>
      <c r="BP137" s="17"/>
      <c r="BQ137" s="17"/>
      <c r="BR137" s="17"/>
      <c r="BS137" s="17"/>
    </row>
    <row r="138" spans="1:71" ht="13.2">
      <c r="A138" s="19"/>
      <c r="B138" s="20"/>
      <c r="C138" s="20"/>
      <c r="D138" s="21"/>
      <c r="E138" s="20"/>
      <c r="F138" s="20"/>
      <c r="G138" s="22"/>
      <c r="H138" s="22"/>
      <c r="I138" s="20"/>
      <c r="J138" s="20"/>
      <c r="K138" s="20"/>
      <c r="L138" s="22"/>
      <c r="M138" s="22"/>
      <c r="N138" s="22"/>
      <c r="O138" s="22"/>
      <c r="P138" s="22"/>
      <c r="Q138" s="22"/>
      <c r="R138" s="22"/>
      <c r="S138" s="20"/>
      <c r="T138" s="20"/>
      <c r="U138" s="20"/>
      <c r="V138" s="22"/>
      <c r="W138" s="20"/>
      <c r="X138" s="22"/>
      <c r="Y138" s="22"/>
      <c r="Z138" s="22"/>
      <c r="AA138" s="22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19"/>
      <c r="BJ138" s="20"/>
      <c r="BK138" s="20"/>
      <c r="BL138" s="23"/>
      <c r="BM138" s="23"/>
      <c r="BN138" s="17"/>
      <c r="BO138" s="17"/>
      <c r="BP138" s="17"/>
      <c r="BQ138" s="17"/>
      <c r="BR138" s="17"/>
      <c r="BS138" s="17"/>
    </row>
    <row r="139" spans="1:71" ht="13.2">
      <c r="A139" s="19"/>
      <c r="B139" s="20"/>
      <c r="C139" s="20"/>
      <c r="D139" s="21"/>
      <c r="E139" s="20"/>
      <c r="F139" s="20"/>
      <c r="G139" s="22"/>
      <c r="H139" s="22"/>
      <c r="I139" s="20"/>
      <c r="J139" s="20"/>
      <c r="K139" s="20"/>
      <c r="L139" s="22"/>
      <c r="M139" s="22"/>
      <c r="N139" s="22"/>
      <c r="O139" s="22"/>
      <c r="P139" s="22"/>
      <c r="Q139" s="22"/>
      <c r="R139" s="22"/>
      <c r="S139" s="20"/>
      <c r="T139" s="20"/>
      <c r="U139" s="20"/>
      <c r="V139" s="22"/>
      <c r="W139" s="20"/>
      <c r="X139" s="22"/>
      <c r="Y139" s="22"/>
      <c r="Z139" s="22"/>
      <c r="AA139" s="22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19"/>
      <c r="BJ139" s="20"/>
      <c r="BK139" s="20"/>
      <c r="BL139" s="23"/>
      <c r="BM139" s="23"/>
      <c r="BN139" s="17"/>
      <c r="BO139" s="17"/>
      <c r="BP139" s="17"/>
      <c r="BQ139" s="17"/>
      <c r="BR139" s="17"/>
      <c r="BS139" s="17"/>
    </row>
    <row r="140" spans="1:71" ht="13.2">
      <c r="A140" s="19"/>
      <c r="B140" s="20"/>
      <c r="C140" s="20"/>
      <c r="D140" s="21"/>
      <c r="E140" s="20"/>
      <c r="F140" s="20"/>
      <c r="G140" s="22"/>
      <c r="H140" s="22"/>
      <c r="I140" s="20"/>
      <c r="J140" s="20"/>
      <c r="K140" s="20"/>
      <c r="L140" s="22"/>
      <c r="M140" s="22"/>
      <c r="N140" s="22"/>
      <c r="O140" s="22"/>
      <c r="P140" s="22"/>
      <c r="Q140" s="22"/>
      <c r="R140" s="22"/>
      <c r="S140" s="20"/>
      <c r="T140" s="20"/>
      <c r="U140" s="20"/>
      <c r="V140" s="22"/>
      <c r="W140" s="20"/>
      <c r="X140" s="22"/>
      <c r="Y140" s="22"/>
      <c r="Z140" s="22"/>
      <c r="AA140" s="22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19"/>
      <c r="BJ140" s="20"/>
      <c r="BK140" s="20"/>
      <c r="BL140" s="23"/>
      <c r="BM140" s="23"/>
      <c r="BN140" s="17"/>
      <c r="BO140" s="17"/>
      <c r="BP140" s="17"/>
      <c r="BQ140" s="17"/>
      <c r="BR140" s="17"/>
      <c r="BS140" s="17"/>
    </row>
    <row r="141" spans="1:71" ht="13.2">
      <c r="A141" s="19"/>
      <c r="B141" s="20"/>
      <c r="C141" s="20"/>
      <c r="D141" s="21"/>
      <c r="E141" s="20"/>
      <c r="F141" s="20"/>
      <c r="G141" s="22"/>
      <c r="H141" s="22"/>
      <c r="I141" s="20"/>
      <c r="J141" s="20"/>
      <c r="K141" s="20"/>
      <c r="L141" s="22"/>
      <c r="M141" s="22"/>
      <c r="N141" s="22"/>
      <c r="O141" s="22"/>
      <c r="P141" s="22"/>
      <c r="Q141" s="22"/>
      <c r="R141" s="22"/>
      <c r="S141" s="20"/>
      <c r="T141" s="20"/>
      <c r="U141" s="20"/>
      <c r="V141" s="22"/>
      <c r="W141" s="20"/>
      <c r="X141" s="22"/>
      <c r="Y141" s="22"/>
      <c r="Z141" s="22"/>
      <c r="AA141" s="22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19"/>
      <c r="BJ141" s="20"/>
      <c r="BK141" s="20"/>
      <c r="BL141" s="23"/>
      <c r="BM141" s="23"/>
      <c r="BN141" s="17"/>
      <c r="BO141" s="17"/>
      <c r="BP141" s="17"/>
      <c r="BQ141" s="17"/>
      <c r="BR141" s="17"/>
      <c r="BS141" s="17"/>
    </row>
    <row r="142" spans="1:71" ht="13.2">
      <c r="A142" s="19"/>
      <c r="B142" s="20"/>
      <c r="C142" s="20"/>
      <c r="D142" s="21"/>
      <c r="E142" s="20"/>
      <c r="F142" s="20"/>
      <c r="G142" s="22"/>
      <c r="H142" s="22"/>
      <c r="I142" s="20"/>
      <c r="J142" s="20"/>
      <c r="K142" s="20"/>
      <c r="L142" s="22"/>
      <c r="M142" s="22"/>
      <c r="N142" s="22"/>
      <c r="O142" s="22"/>
      <c r="P142" s="22"/>
      <c r="Q142" s="22"/>
      <c r="R142" s="22"/>
      <c r="S142" s="20"/>
      <c r="T142" s="20"/>
      <c r="U142" s="20"/>
      <c r="V142" s="22"/>
      <c r="W142" s="20"/>
      <c r="X142" s="22"/>
      <c r="Y142" s="22"/>
      <c r="Z142" s="22"/>
      <c r="AA142" s="22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19"/>
      <c r="BJ142" s="20"/>
      <c r="BK142" s="20"/>
      <c r="BL142" s="23"/>
      <c r="BM142" s="23"/>
      <c r="BN142" s="17"/>
      <c r="BO142" s="17"/>
      <c r="BP142" s="17"/>
      <c r="BQ142" s="17"/>
      <c r="BR142" s="17"/>
      <c r="BS142" s="17"/>
    </row>
    <row r="143" spans="1:71" ht="13.2">
      <c r="A143" s="19"/>
      <c r="B143" s="20"/>
      <c r="C143" s="20"/>
      <c r="D143" s="21"/>
      <c r="E143" s="20"/>
      <c r="F143" s="20"/>
      <c r="G143" s="22"/>
      <c r="H143" s="22"/>
      <c r="I143" s="20"/>
      <c r="J143" s="20"/>
      <c r="K143" s="20"/>
      <c r="L143" s="22"/>
      <c r="M143" s="22"/>
      <c r="N143" s="22"/>
      <c r="O143" s="22"/>
      <c r="P143" s="22"/>
      <c r="Q143" s="22"/>
      <c r="R143" s="22"/>
      <c r="S143" s="20"/>
      <c r="T143" s="20"/>
      <c r="U143" s="20"/>
      <c r="V143" s="22"/>
      <c r="W143" s="20"/>
      <c r="X143" s="22"/>
      <c r="Y143" s="22"/>
      <c r="Z143" s="22"/>
      <c r="AA143" s="22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19"/>
      <c r="BJ143" s="20"/>
      <c r="BK143" s="20"/>
      <c r="BL143" s="23"/>
      <c r="BM143" s="23"/>
      <c r="BN143" s="17"/>
      <c r="BO143" s="17"/>
      <c r="BP143" s="17"/>
      <c r="BQ143" s="17"/>
      <c r="BR143" s="17"/>
      <c r="BS143" s="17"/>
    </row>
    <row r="144" spans="1:71" ht="13.2">
      <c r="A144" s="19"/>
      <c r="B144" s="20"/>
      <c r="C144" s="20"/>
      <c r="D144" s="21"/>
      <c r="E144" s="20"/>
      <c r="F144" s="20"/>
      <c r="G144" s="22"/>
      <c r="H144" s="22"/>
      <c r="I144" s="20"/>
      <c r="J144" s="20"/>
      <c r="K144" s="20"/>
      <c r="L144" s="22"/>
      <c r="M144" s="22"/>
      <c r="N144" s="22"/>
      <c r="O144" s="22"/>
      <c r="P144" s="22"/>
      <c r="Q144" s="22"/>
      <c r="R144" s="22"/>
      <c r="S144" s="20"/>
      <c r="T144" s="20"/>
      <c r="U144" s="20"/>
      <c r="V144" s="22"/>
      <c r="W144" s="20"/>
      <c r="X144" s="22"/>
      <c r="Y144" s="22"/>
      <c r="Z144" s="22"/>
      <c r="AA144" s="22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19"/>
      <c r="BJ144" s="20"/>
      <c r="BK144" s="20"/>
      <c r="BL144" s="23"/>
      <c r="BM144" s="23"/>
      <c r="BN144" s="17"/>
      <c r="BO144" s="17"/>
      <c r="BP144" s="17"/>
      <c r="BQ144" s="17"/>
      <c r="BR144" s="17"/>
      <c r="BS144" s="17"/>
    </row>
    <row r="145" spans="1:71" ht="13.2">
      <c r="A145" s="19"/>
      <c r="B145" s="20"/>
      <c r="C145" s="20"/>
      <c r="D145" s="21"/>
      <c r="E145" s="20"/>
      <c r="F145" s="20"/>
      <c r="G145" s="22"/>
      <c r="H145" s="22"/>
      <c r="I145" s="20"/>
      <c r="J145" s="20"/>
      <c r="K145" s="20"/>
      <c r="L145" s="22"/>
      <c r="M145" s="22"/>
      <c r="N145" s="22"/>
      <c r="O145" s="22"/>
      <c r="P145" s="22"/>
      <c r="Q145" s="22"/>
      <c r="R145" s="22"/>
      <c r="S145" s="20"/>
      <c r="T145" s="20"/>
      <c r="U145" s="20"/>
      <c r="V145" s="22"/>
      <c r="W145" s="20"/>
      <c r="X145" s="22"/>
      <c r="Y145" s="22"/>
      <c r="Z145" s="22"/>
      <c r="AA145" s="22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19"/>
      <c r="BJ145" s="20"/>
      <c r="BK145" s="20"/>
      <c r="BL145" s="23"/>
      <c r="BM145" s="23"/>
      <c r="BN145" s="17"/>
      <c r="BO145" s="17"/>
      <c r="BP145" s="17"/>
      <c r="BQ145" s="17"/>
      <c r="BR145" s="17"/>
      <c r="BS145" s="17"/>
    </row>
    <row r="146" spans="1:71" ht="13.2">
      <c r="A146" s="19"/>
      <c r="B146" s="20"/>
      <c r="C146" s="20"/>
      <c r="D146" s="21"/>
      <c r="E146" s="20"/>
      <c r="F146" s="20"/>
      <c r="G146" s="22"/>
      <c r="H146" s="22"/>
      <c r="I146" s="20"/>
      <c r="J146" s="20"/>
      <c r="K146" s="20"/>
      <c r="L146" s="22"/>
      <c r="M146" s="22"/>
      <c r="N146" s="22"/>
      <c r="O146" s="22"/>
      <c r="P146" s="22"/>
      <c r="Q146" s="22"/>
      <c r="R146" s="22"/>
      <c r="S146" s="20"/>
      <c r="T146" s="20"/>
      <c r="U146" s="20"/>
      <c r="V146" s="22"/>
      <c r="W146" s="20"/>
      <c r="X146" s="22"/>
      <c r="Y146" s="22"/>
      <c r="Z146" s="22"/>
      <c r="AA146" s="22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19"/>
      <c r="BJ146" s="20"/>
      <c r="BK146" s="20"/>
      <c r="BL146" s="23"/>
      <c r="BM146" s="23"/>
      <c r="BN146" s="17"/>
      <c r="BO146" s="17"/>
      <c r="BP146" s="17"/>
      <c r="BQ146" s="17"/>
      <c r="BR146" s="17"/>
      <c r="BS146" s="17"/>
    </row>
    <row r="147" spans="1:71" ht="13.2">
      <c r="A147" s="19"/>
      <c r="B147" s="20"/>
      <c r="C147" s="20"/>
      <c r="D147" s="21"/>
      <c r="E147" s="20"/>
      <c r="F147" s="20"/>
      <c r="G147" s="22"/>
      <c r="H147" s="22"/>
      <c r="I147" s="20"/>
      <c r="J147" s="20"/>
      <c r="K147" s="20"/>
      <c r="L147" s="22"/>
      <c r="M147" s="22"/>
      <c r="N147" s="22"/>
      <c r="O147" s="22"/>
      <c r="P147" s="22"/>
      <c r="Q147" s="22"/>
      <c r="R147" s="22"/>
      <c r="S147" s="20"/>
      <c r="T147" s="20"/>
      <c r="U147" s="20"/>
      <c r="V147" s="22"/>
      <c r="W147" s="20"/>
      <c r="X147" s="22"/>
      <c r="Y147" s="22"/>
      <c r="Z147" s="22"/>
      <c r="AA147" s="22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19"/>
      <c r="BJ147" s="20"/>
      <c r="BK147" s="20"/>
      <c r="BL147" s="23"/>
      <c r="BM147" s="23"/>
      <c r="BN147" s="17"/>
      <c r="BO147" s="17"/>
      <c r="BP147" s="17"/>
      <c r="BQ147" s="17"/>
      <c r="BR147" s="17"/>
      <c r="BS147" s="17"/>
    </row>
    <row r="148" spans="1:71" ht="13.2">
      <c r="A148" s="19"/>
      <c r="B148" s="20"/>
      <c r="C148" s="20"/>
      <c r="D148" s="21"/>
      <c r="E148" s="20"/>
      <c r="F148" s="20"/>
      <c r="G148" s="22"/>
      <c r="H148" s="22"/>
      <c r="I148" s="20"/>
      <c r="J148" s="20"/>
      <c r="K148" s="20"/>
      <c r="L148" s="22"/>
      <c r="M148" s="22"/>
      <c r="N148" s="22"/>
      <c r="O148" s="22"/>
      <c r="P148" s="22"/>
      <c r="Q148" s="22"/>
      <c r="R148" s="22"/>
      <c r="S148" s="20"/>
      <c r="T148" s="20"/>
      <c r="U148" s="20"/>
      <c r="V148" s="22"/>
      <c r="W148" s="20"/>
      <c r="X148" s="22"/>
      <c r="Y148" s="22"/>
      <c r="Z148" s="22"/>
      <c r="AA148" s="22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19"/>
      <c r="BJ148" s="20"/>
      <c r="BK148" s="20"/>
      <c r="BL148" s="23"/>
      <c r="BM148" s="23"/>
      <c r="BN148" s="17"/>
      <c r="BO148" s="17"/>
      <c r="BP148" s="17"/>
      <c r="BQ148" s="17"/>
      <c r="BR148" s="17"/>
      <c r="BS148" s="17"/>
    </row>
    <row r="149" spans="1:71" ht="13.2">
      <c r="A149" s="19"/>
      <c r="B149" s="20"/>
      <c r="C149" s="20"/>
      <c r="D149" s="21"/>
      <c r="E149" s="20"/>
      <c r="F149" s="20"/>
      <c r="G149" s="22"/>
      <c r="H149" s="22"/>
      <c r="I149" s="20"/>
      <c r="J149" s="20"/>
      <c r="K149" s="20"/>
      <c r="L149" s="22"/>
      <c r="M149" s="22"/>
      <c r="N149" s="22"/>
      <c r="O149" s="22"/>
      <c r="P149" s="22"/>
      <c r="Q149" s="22"/>
      <c r="R149" s="22"/>
      <c r="S149" s="20"/>
      <c r="T149" s="20"/>
      <c r="U149" s="20"/>
      <c r="V149" s="22"/>
      <c r="W149" s="20"/>
      <c r="X149" s="22"/>
      <c r="Y149" s="22"/>
      <c r="Z149" s="22"/>
      <c r="AA149" s="22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19"/>
      <c r="BJ149" s="20"/>
      <c r="BK149" s="20"/>
      <c r="BL149" s="23"/>
      <c r="BM149" s="23"/>
      <c r="BN149" s="17"/>
      <c r="BO149" s="17"/>
      <c r="BP149" s="17"/>
      <c r="BQ149" s="17"/>
      <c r="BR149" s="17"/>
      <c r="BS149" s="17"/>
    </row>
    <row r="150" spans="1:71" ht="13.2">
      <c r="A150" s="19"/>
      <c r="B150" s="20"/>
      <c r="C150" s="20"/>
      <c r="D150" s="21"/>
      <c r="E150" s="20"/>
      <c r="F150" s="20"/>
      <c r="G150" s="22"/>
      <c r="H150" s="22"/>
      <c r="I150" s="20"/>
      <c r="J150" s="20"/>
      <c r="K150" s="20"/>
      <c r="L150" s="22"/>
      <c r="M150" s="22"/>
      <c r="N150" s="22"/>
      <c r="O150" s="22"/>
      <c r="P150" s="22"/>
      <c r="Q150" s="22"/>
      <c r="R150" s="22"/>
      <c r="S150" s="20"/>
      <c r="T150" s="20"/>
      <c r="U150" s="20"/>
      <c r="V150" s="22"/>
      <c r="W150" s="20"/>
      <c r="X150" s="22"/>
      <c r="Y150" s="22"/>
      <c r="Z150" s="22"/>
      <c r="AA150" s="22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19"/>
      <c r="BJ150" s="20"/>
      <c r="BK150" s="20"/>
      <c r="BL150" s="23"/>
      <c r="BM150" s="23"/>
      <c r="BN150" s="17"/>
      <c r="BO150" s="17"/>
      <c r="BP150" s="17"/>
      <c r="BQ150" s="17"/>
      <c r="BR150" s="17"/>
      <c r="BS150" s="17"/>
    </row>
    <row r="151" spans="1:71" ht="13.2">
      <c r="A151" s="19"/>
      <c r="B151" s="20"/>
      <c r="C151" s="20"/>
      <c r="D151" s="21"/>
      <c r="E151" s="20"/>
      <c r="F151" s="20"/>
      <c r="G151" s="22"/>
      <c r="H151" s="22"/>
      <c r="I151" s="20"/>
      <c r="J151" s="20"/>
      <c r="K151" s="20"/>
      <c r="L151" s="22"/>
      <c r="M151" s="22"/>
      <c r="N151" s="22"/>
      <c r="O151" s="22"/>
      <c r="P151" s="22"/>
      <c r="Q151" s="22"/>
      <c r="R151" s="22"/>
      <c r="S151" s="20"/>
      <c r="T151" s="20"/>
      <c r="U151" s="20"/>
      <c r="V151" s="22"/>
      <c r="W151" s="20"/>
      <c r="X151" s="22"/>
      <c r="Y151" s="22"/>
      <c r="Z151" s="22"/>
      <c r="AA151" s="22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19"/>
      <c r="BJ151" s="20"/>
      <c r="BK151" s="20"/>
      <c r="BL151" s="23"/>
      <c r="BM151" s="23"/>
      <c r="BN151" s="17"/>
      <c r="BO151" s="17"/>
      <c r="BP151" s="17"/>
      <c r="BQ151" s="17"/>
      <c r="BR151" s="17"/>
      <c r="BS151" s="17"/>
    </row>
    <row r="152" spans="1:71" ht="13.2">
      <c r="A152" s="19"/>
      <c r="B152" s="20"/>
      <c r="C152" s="20"/>
      <c r="D152" s="21"/>
      <c r="E152" s="20"/>
      <c r="F152" s="20"/>
      <c r="G152" s="22"/>
      <c r="H152" s="22"/>
      <c r="I152" s="20"/>
      <c r="J152" s="20"/>
      <c r="K152" s="20"/>
      <c r="L152" s="22"/>
      <c r="M152" s="22"/>
      <c r="N152" s="22"/>
      <c r="O152" s="22"/>
      <c r="P152" s="22"/>
      <c r="Q152" s="22"/>
      <c r="R152" s="22"/>
      <c r="S152" s="20"/>
      <c r="T152" s="20"/>
      <c r="U152" s="20"/>
      <c r="V152" s="22"/>
      <c r="W152" s="20"/>
      <c r="X152" s="22"/>
      <c r="Y152" s="22"/>
      <c r="Z152" s="22"/>
      <c r="AA152" s="22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19"/>
      <c r="BJ152" s="20"/>
      <c r="BK152" s="20"/>
      <c r="BL152" s="23"/>
      <c r="BM152" s="23"/>
      <c r="BN152" s="17"/>
      <c r="BO152" s="17"/>
      <c r="BP152" s="17"/>
      <c r="BQ152" s="17"/>
      <c r="BR152" s="17"/>
      <c r="BS152" s="17"/>
    </row>
    <row r="153" spans="1:71" ht="13.2">
      <c r="A153" s="19"/>
      <c r="B153" s="20"/>
      <c r="C153" s="20"/>
      <c r="D153" s="21"/>
      <c r="E153" s="20"/>
      <c r="F153" s="20"/>
      <c r="G153" s="22"/>
      <c r="H153" s="22"/>
      <c r="I153" s="20"/>
      <c r="J153" s="20"/>
      <c r="K153" s="20"/>
      <c r="L153" s="22"/>
      <c r="M153" s="22"/>
      <c r="N153" s="22"/>
      <c r="O153" s="22"/>
      <c r="P153" s="22"/>
      <c r="Q153" s="22"/>
      <c r="R153" s="22"/>
      <c r="S153" s="20"/>
      <c r="T153" s="20"/>
      <c r="U153" s="20"/>
      <c r="V153" s="22"/>
      <c r="W153" s="20"/>
      <c r="X153" s="22"/>
      <c r="Y153" s="22"/>
      <c r="Z153" s="22"/>
      <c r="AA153" s="22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19"/>
      <c r="BJ153" s="20"/>
      <c r="BK153" s="20"/>
      <c r="BL153" s="23"/>
      <c r="BM153" s="23"/>
      <c r="BN153" s="17"/>
      <c r="BO153" s="17"/>
      <c r="BP153" s="17"/>
      <c r="BQ153" s="17"/>
      <c r="BR153" s="17"/>
      <c r="BS153" s="17"/>
    </row>
    <row r="154" spans="1:71" ht="13.2">
      <c r="A154" s="19"/>
      <c r="B154" s="20"/>
      <c r="C154" s="20"/>
      <c r="D154" s="21"/>
      <c r="E154" s="20"/>
      <c r="F154" s="20"/>
      <c r="G154" s="22"/>
      <c r="H154" s="22"/>
      <c r="I154" s="20"/>
      <c r="J154" s="20"/>
      <c r="K154" s="20"/>
      <c r="L154" s="22"/>
      <c r="M154" s="22"/>
      <c r="N154" s="22"/>
      <c r="O154" s="22"/>
      <c r="P154" s="22"/>
      <c r="Q154" s="22"/>
      <c r="R154" s="22"/>
      <c r="S154" s="20"/>
      <c r="T154" s="20"/>
      <c r="U154" s="20"/>
      <c r="V154" s="22"/>
      <c r="W154" s="20"/>
      <c r="X154" s="22"/>
      <c r="Y154" s="22"/>
      <c r="Z154" s="22"/>
      <c r="AA154" s="22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19"/>
      <c r="BJ154" s="20"/>
      <c r="BK154" s="20"/>
      <c r="BL154" s="23"/>
      <c r="BM154" s="23"/>
      <c r="BN154" s="17"/>
      <c r="BO154" s="17"/>
      <c r="BP154" s="17"/>
      <c r="BQ154" s="17"/>
      <c r="BR154" s="17"/>
      <c r="BS154" s="17"/>
    </row>
    <row r="155" spans="1:71" ht="13.2">
      <c r="A155" s="19"/>
      <c r="B155" s="20"/>
      <c r="C155" s="20"/>
      <c r="D155" s="21"/>
      <c r="E155" s="20"/>
      <c r="F155" s="20"/>
      <c r="G155" s="22"/>
      <c r="H155" s="22"/>
      <c r="I155" s="20"/>
      <c r="J155" s="20"/>
      <c r="K155" s="20"/>
      <c r="L155" s="22"/>
      <c r="M155" s="22"/>
      <c r="N155" s="22"/>
      <c r="O155" s="22"/>
      <c r="P155" s="22"/>
      <c r="Q155" s="22"/>
      <c r="R155" s="22"/>
      <c r="S155" s="20"/>
      <c r="T155" s="20"/>
      <c r="U155" s="20"/>
      <c r="V155" s="22"/>
      <c r="W155" s="20"/>
      <c r="X155" s="22"/>
      <c r="Y155" s="22"/>
      <c r="Z155" s="22"/>
      <c r="AA155" s="22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19"/>
      <c r="BJ155" s="20"/>
      <c r="BK155" s="20"/>
      <c r="BL155" s="23"/>
      <c r="BM155" s="23"/>
      <c r="BN155" s="17"/>
      <c r="BO155" s="17"/>
      <c r="BP155" s="17"/>
      <c r="BQ155" s="17"/>
      <c r="BR155" s="17"/>
      <c r="BS155" s="17"/>
    </row>
    <row r="156" spans="1:71" ht="13.2">
      <c r="A156" s="19"/>
      <c r="B156" s="20"/>
      <c r="C156" s="20"/>
      <c r="D156" s="21"/>
      <c r="E156" s="20"/>
      <c r="F156" s="20"/>
      <c r="G156" s="22"/>
      <c r="H156" s="22"/>
      <c r="I156" s="20"/>
      <c r="J156" s="20"/>
      <c r="K156" s="20"/>
      <c r="L156" s="22"/>
      <c r="M156" s="22"/>
      <c r="N156" s="22"/>
      <c r="O156" s="22"/>
      <c r="P156" s="22"/>
      <c r="Q156" s="22"/>
      <c r="R156" s="22"/>
      <c r="S156" s="20"/>
      <c r="T156" s="20"/>
      <c r="U156" s="20"/>
      <c r="V156" s="22"/>
      <c r="W156" s="20"/>
      <c r="X156" s="22"/>
      <c r="Y156" s="22"/>
      <c r="Z156" s="22"/>
      <c r="AA156" s="22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19"/>
      <c r="BJ156" s="20"/>
      <c r="BK156" s="20"/>
      <c r="BL156" s="28"/>
      <c r="BM156" s="28"/>
      <c r="BN156" s="29"/>
      <c r="BO156" s="29"/>
      <c r="BP156" s="29"/>
      <c r="BQ156" s="29"/>
      <c r="BR156" s="29"/>
      <c r="BS156" s="29"/>
    </row>
    <row r="157" spans="1:71" ht="13.2">
      <c r="A157" s="19"/>
      <c r="B157" s="20"/>
      <c r="C157" s="20"/>
      <c r="D157" s="21"/>
      <c r="E157" s="20"/>
      <c r="F157" s="20"/>
      <c r="G157" s="22"/>
      <c r="H157" s="22"/>
      <c r="I157" s="20"/>
      <c r="J157" s="20"/>
      <c r="K157" s="20"/>
      <c r="L157" s="22"/>
      <c r="M157" s="22"/>
      <c r="N157" s="22"/>
      <c r="O157" s="22"/>
      <c r="P157" s="22"/>
      <c r="Q157" s="22"/>
      <c r="R157" s="22"/>
      <c r="S157" s="20"/>
      <c r="T157" s="20"/>
      <c r="U157" s="20"/>
      <c r="V157" s="22"/>
      <c r="W157" s="20"/>
      <c r="X157" s="22"/>
      <c r="Y157" s="22"/>
      <c r="Z157" s="22"/>
      <c r="AA157" s="22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19"/>
      <c r="BJ157" s="20"/>
      <c r="BK157" s="20"/>
      <c r="BL157" s="28"/>
      <c r="BM157" s="28"/>
      <c r="BN157" s="29"/>
      <c r="BO157" s="29"/>
      <c r="BP157" s="29"/>
      <c r="BQ157" s="29"/>
      <c r="BR157" s="29"/>
      <c r="BS157" s="29"/>
    </row>
    <row r="158" spans="1:71" ht="13.2">
      <c r="A158" s="19"/>
      <c r="B158" s="20"/>
      <c r="C158" s="20"/>
      <c r="D158" s="21"/>
      <c r="E158" s="20"/>
      <c r="F158" s="20"/>
      <c r="G158" s="22"/>
      <c r="H158" s="22"/>
      <c r="I158" s="20"/>
      <c r="J158" s="20"/>
      <c r="K158" s="20"/>
      <c r="L158" s="22"/>
      <c r="M158" s="22"/>
      <c r="N158" s="22"/>
      <c r="O158" s="22"/>
      <c r="P158" s="22"/>
      <c r="Q158" s="22"/>
      <c r="R158" s="22"/>
      <c r="S158" s="20"/>
      <c r="T158" s="20"/>
      <c r="U158" s="20"/>
      <c r="V158" s="22"/>
      <c r="W158" s="20"/>
      <c r="X158" s="22"/>
      <c r="Y158" s="22"/>
      <c r="Z158" s="22"/>
      <c r="AA158" s="22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19"/>
      <c r="BJ158" s="20"/>
      <c r="BK158" s="20"/>
      <c r="BL158" s="28"/>
      <c r="BM158" s="28"/>
      <c r="BN158" s="29"/>
      <c r="BO158" s="29"/>
      <c r="BP158" s="29"/>
      <c r="BQ158" s="29"/>
      <c r="BR158" s="29"/>
      <c r="BS158" s="29"/>
    </row>
    <row r="159" spans="1:71" ht="13.2">
      <c r="A159" s="19"/>
      <c r="B159" s="20"/>
      <c r="C159" s="20"/>
      <c r="D159" s="21"/>
      <c r="E159" s="20"/>
      <c r="F159" s="20"/>
      <c r="G159" s="22"/>
      <c r="H159" s="22"/>
      <c r="I159" s="20"/>
      <c r="J159" s="20"/>
      <c r="K159" s="20"/>
      <c r="L159" s="22"/>
      <c r="M159" s="22"/>
      <c r="N159" s="22"/>
      <c r="O159" s="22"/>
      <c r="P159" s="22"/>
      <c r="Q159" s="22"/>
      <c r="R159" s="22"/>
      <c r="S159" s="20"/>
      <c r="T159" s="20"/>
      <c r="U159" s="20"/>
      <c r="V159" s="22"/>
      <c r="W159" s="20"/>
      <c r="X159" s="22"/>
      <c r="Y159" s="22"/>
      <c r="Z159" s="22"/>
      <c r="AA159" s="22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19"/>
      <c r="BJ159" s="20"/>
      <c r="BK159" s="20"/>
      <c r="BL159" s="28"/>
      <c r="BM159" s="28"/>
      <c r="BN159" s="29"/>
      <c r="BO159" s="29"/>
      <c r="BP159" s="29"/>
      <c r="BQ159" s="29"/>
      <c r="BR159" s="29"/>
      <c r="BS159" s="29"/>
    </row>
    <row r="160" spans="1:71" ht="13.2">
      <c r="A160" s="19"/>
      <c r="B160" s="20"/>
      <c r="C160" s="20"/>
      <c r="D160" s="21"/>
      <c r="E160" s="20"/>
      <c r="F160" s="20"/>
      <c r="G160" s="22"/>
      <c r="H160" s="22"/>
      <c r="I160" s="20"/>
      <c r="J160" s="20"/>
      <c r="K160" s="20"/>
      <c r="L160" s="22"/>
      <c r="M160" s="22"/>
      <c r="N160" s="22"/>
      <c r="O160" s="22"/>
      <c r="P160" s="22"/>
      <c r="Q160" s="22"/>
      <c r="R160" s="22"/>
      <c r="S160" s="20"/>
      <c r="T160" s="20"/>
      <c r="U160" s="20"/>
      <c r="V160" s="22"/>
      <c r="W160" s="20"/>
      <c r="X160" s="22"/>
      <c r="Y160" s="22"/>
      <c r="Z160" s="22"/>
      <c r="AA160" s="22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19"/>
      <c r="BJ160" s="20"/>
      <c r="BK160" s="20"/>
      <c r="BL160" s="28"/>
      <c r="BM160" s="28"/>
      <c r="BN160" s="29"/>
      <c r="BO160" s="29"/>
      <c r="BP160" s="29"/>
      <c r="BQ160" s="29"/>
      <c r="BR160" s="29"/>
      <c r="BS160" s="29"/>
    </row>
    <row r="161" spans="1:71" ht="13.2">
      <c r="A161" s="19"/>
      <c r="B161" s="20"/>
      <c r="C161" s="20"/>
      <c r="D161" s="21"/>
      <c r="E161" s="20"/>
      <c r="F161" s="20"/>
      <c r="G161" s="22"/>
      <c r="H161" s="22"/>
      <c r="I161" s="20"/>
      <c r="J161" s="20"/>
      <c r="K161" s="20"/>
      <c r="L161" s="22"/>
      <c r="M161" s="22"/>
      <c r="N161" s="22"/>
      <c r="O161" s="22"/>
      <c r="P161" s="22"/>
      <c r="Q161" s="22"/>
      <c r="R161" s="22"/>
      <c r="S161" s="20"/>
      <c r="T161" s="20"/>
      <c r="U161" s="20"/>
      <c r="V161" s="22"/>
      <c r="W161" s="20"/>
      <c r="X161" s="22"/>
      <c r="Y161" s="22"/>
      <c r="Z161" s="22"/>
      <c r="AA161" s="22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19"/>
      <c r="BJ161" s="20"/>
      <c r="BK161" s="20"/>
      <c r="BL161" s="28"/>
      <c r="BM161" s="28"/>
      <c r="BN161" s="29"/>
      <c r="BO161" s="29"/>
      <c r="BP161" s="29"/>
      <c r="BQ161" s="29"/>
      <c r="BR161" s="29"/>
      <c r="BS161" s="29"/>
    </row>
    <row r="162" spans="1:71" ht="13.2">
      <c r="A162" s="19"/>
      <c r="B162" s="20"/>
      <c r="C162" s="20"/>
      <c r="D162" s="21"/>
      <c r="E162" s="20"/>
      <c r="F162" s="20"/>
      <c r="G162" s="22"/>
      <c r="H162" s="22"/>
      <c r="I162" s="20"/>
      <c r="J162" s="20"/>
      <c r="K162" s="20"/>
      <c r="L162" s="22"/>
      <c r="M162" s="22"/>
      <c r="N162" s="22"/>
      <c r="O162" s="22"/>
      <c r="P162" s="22"/>
      <c r="Q162" s="22"/>
      <c r="R162" s="22"/>
      <c r="S162" s="20"/>
      <c r="T162" s="20"/>
      <c r="U162" s="20"/>
      <c r="V162" s="22"/>
      <c r="W162" s="20"/>
      <c r="X162" s="22"/>
      <c r="Y162" s="22"/>
      <c r="Z162" s="22"/>
      <c r="AA162" s="22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19"/>
      <c r="BJ162" s="20"/>
      <c r="BK162" s="20"/>
      <c r="BL162" s="28"/>
      <c r="BM162" s="28"/>
      <c r="BN162" s="29"/>
      <c r="BO162" s="29"/>
      <c r="BP162" s="29"/>
      <c r="BQ162" s="29"/>
      <c r="BR162" s="29"/>
      <c r="BS162" s="29"/>
    </row>
    <row r="163" spans="1:71" ht="13.2">
      <c r="A163" s="19"/>
      <c r="B163" s="20"/>
      <c r="C163" s="20"/>
      <c r="D163" s="21"/>
      <c r="E163" s="20"/>
      <c r="F163" s="20"/>
      <c r="G163" s="22"/>
      <c r="H163" s="22"/>
      <c r="I163" s="20"/>
      <c r="J163" s="20"/>
      <c r="K163" s="20"/>
      <c r="L163" s="22"/>
      <c r="M163" s="22"/>
      <c r="N163" s="22"/>
      <c r="O163" s="22"/>
      <c r="P163" s="22"/>
      <c r="Q163" s="22"/>
      <c r="R163" s="22"/>
      <c r="S163" s="20"/>
      <c r="T163" s="20"/>
      <c r="U163" s="20"/>
      <c r="V163" s="22"/>
      <c r="W163" s="20"/>
      <c r="X163" s="22"/>
      <c r="Y163" s="22"/>
      <c r="Z163" s="22"/>
      <c r="AA163" s="22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19"/>
      <c r="BJ163" s="20"/>
      <c r="BK163" s="20"/>
      <c r="BL163" s="28"/>
      <c r="BM163" s="28"/>
      <c r="BN163" s="29"/>
      <c r="BO163" s="29"/>
      <c r="BP163" s="29"/>
      <c r="BQ163" s="29"/>
      <c r="BR163" s="29"/>
      <c r="BS163" s="29"/>
    </row>
    <row r="164" spans="1:71" ht="13.2">
      <c r="A164" s="19"/>
      <c r="B164" s="20"/>
      <c r="C164" s="20"/>
      <c r="D164" s="21"/>
      <c r="E164" s="20"/>
      <c r="F164" s="20"/>
      <c r="G164" s="22"/>
      <c r="H164" s="22"/>
      <c r="I164" s="20"/>
      <c r="J164" s="20"/>
      <c r="K164" s="20"/>
      <c r="L164" s="22"/>
      <c r="M164" s="22"/>
      <c r="N164" s="22"/>
      <c r="O164" s="22"/>
      <c r="P164" s="22"/>
      <c r="Q164" s="22"/>
      <c r="R164" s="22"/>
      <c r="S164" s="20"/>
      <c r="T164" s="20"/>
      <c r="U164" s="20"/>
      <c r="V164" s="22"/>
      <c r="W164" s="20"/>
      <c r="X164" s="22"/>
      <c r="Y164" s="22"/>
      <c r="Z164" s="22"/>
      <c r="AA164" s="22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19"/>
      <c r="BJ164" s="20"/>
      <c r="BK164" s="20"/>
      <c r="BL164" s="28"/>
      <c r="BM164" s="28"/>
      <c r="BN164" s="29"/>
      <c r="BO164" s="29"/>
      <c r="BP164" s="29"/>
      <c r="BQ164" s="29"/>
      <c r="BR164" s="29"/>
      <c r="BS164" s="29"/>
    </row>
    <row r="165" spans="1:71" ht="13.2">
      <c r="A165" s="19"/>
      <c r="B165" s="20"/>
      <c r="C165" s="20"/>
      <c r="D165" s="21"/>
      <c r="E165" s="20"/>
      <c r="F165" s="20"/>
      <c r="G165" s="22"/>
      <c r="H165" s="22"/>
      <c r="I165" s="20"/>
      <c r="J165" s="20"/>
      <c r="K165" s="20"/>
      <c r="L165" s="22"/>
      <c r="M165" s="22"/>
      <c r="N165" s="22"/>
      <c r="O165" s="22"/>
      <c r="P165" s="22"/>
      <c r="Q165" s="22"/>
      <c r="R165" s="22"/>
      <c r="S165" s="20"/>
      <c r="T165" s="20"/>
      <c r="U165" s="20"/>
      <c r="V165" s="22"/>
      <c r="W165" s="20"/>
      <c r="X165" s="22"/>
      <c r="Y165" s="22"/>
      <c r="Z165" s="22"/>
      <c r="AA165" s="22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19"/>
      <c r="BJ165" s="20"/>
      <c r="BK165" s="20"/>
      <c r="BL165" s="28"/>
      <c r="BM165" s="28"/>
      <c r="BN165" s="29"/>
      <c r="BO165" s="29"/>
      <c r="BP165" s="29"/>
      <c r="BQ165" s="29"/>
      <c r="BR165" s="29"/>
      <c r="BS165" s="29"/>
    </row>
    <row r="166" spans="1:71" ht="13.2">
      <c r="A166" s="19"/>
      <c r="B166" s="20"/>
      <c r="C166" s="20"/>
      <c r="D166" s="21"/>
      <c r="E166" s="20"/>
      <c r="F166" s="20"/>
      <c r="G166" s="22"/>
      <c r="H166" s="22"/>
      <c r="I166" s="20"/>
      <c r="J166" s="20"/>
      <c r="K166" s="20"/>
      <c r="L166" s="22"/>
      <c r="M166" s="22"/>
      <c r="N166" s="22"/>
      <c r="O166" s="22"/>
      <c r="P166" s="22"/>
      <c r="Q166" s="22"/>
      <c r="R166" s="22"/>
      <c r="S166" s="20"/>
      <c r="T166" s="20"/>
      <c r="U166" s="20"/>
      <c r="V166" s="22"/>
      <c r="W166" s="20"/>
      <c r="X166" s="22"/>
      <c r="Y166" s="22"/>
      <c r="Z166" s="22"/>
      <c r="AA166" s="22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19"/>
      <c r="BJ166" s="20"/>
      <c r="BK166" s="20"/>
      <c r="BL166" s="28"/>
      <c r="BM166" s="28"/>
      <c r="BN166" s="29"/>
      <c r="BO166" s="29"/>
      <c r="BP166" s="29"/>
      <c r="BQ166" s="29"/>
      <c r="BR166" s="29"/>
      <c r="BS166" s="29"/>
    </row>
    <row r="167" spans="1:71" ht="13.2">
      <c r="A167" s="19"/>
      <c r="B167" s="20"/>
      <c r="C167" s="20"/>
      <c r="D167" s="21"/>
      <c r="E167" s="20"/>
      <c r="F167" s="20"/>
      <c r="G167" s="22"/>
      <c r="H167" s="22"/>
      <c r="I167" s="20"/>
      <c r="J167" s="20"/>
      <c r="K167" s="20"/>
      <c r="L167" s="22"/>
      <c r="M167" s="22"/>
      <c r="N167" s="22"/>
      <c r="O167" s="22"/>
      <c r="P167" s="22"/>
      <c r="Q167" s="22"/>
      <c r="R167" s="22"/>
      <c r="S167" s="20"/>
      <c r="T167" s="20"/>
      <c r="U167" s="20"/>
      <c r="V167" s="22"/>
      <c r="W167" s="20"/>
      <c r="X167" s="22"/>
      <c r="Y167" s="22"/>
      <c r="Z167" s="22"/>
      <c r="AA167" s="22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19"/>
      <c r="BJ167" s="20"/>
      <c r="BK167" s="20"/>
      <c r="BL167" s="28"/>
      <c r="BM167" s="28"/>
      <c r="BN167" s="29"/>
      <c r="BO167" s="29"/>
      <c r="BP167" s="29"/>
      <c r="BQ167" s="29"/>
      <c r="BR167" s="29"/>
      <c r="BS167" s="29"/>
    </row>
    <row r="168" spans="1:71" ht="13.2">
      <c r="A168" s="19"/>
      <c r="B168" s="20"/>
      <c r="C168" s="20"/>
      <c r="D168" s="21"/>
      <c r="E168" s="20"/>
      <c r="F168" s="20"/>
      <c r="G168" s="22"/>
      <c r="H168" s="22"/>
      <c r="I168" s="20"/>
      <c r="J168" s="20"/>
      <c r="K168" s="20"/>
      <c r="L168" s="22"/>
      <c r="M168" s="22"/>
      <c r="N168" s="22"/>
      <c r="O168" s="22"/>
      <c r="P168" s="22"/>
      <c r="Q168" s="22"/>
      <c r="R168" s="22"/>
      <c r="S168" s="20"/>
      <c r="T168" s="20"/>
      <c r="U168" s="20"/>
      <c r="V168" s="22"/>
      <c r="W168" s="20"/>
      <c r="X168" s="22"/>
      <c r="Y168" s="22"/>
      <c r="Z168" s="22"/>
      <c r="AA168" s="22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19"/>
      <c r="BJ168" s="20"/>
      <c r="BK168" s="20"/>
      <c r="BL168" s="28"/>
      <c r="BM168" s="28"/>
      <c r="BN168" s="29"/>
      <c r="BO168" s="29"/>
      <c r="BP168" s="29"/>
      <c r="BQ168" s="29"/>
      <c r="BR168" s="29"/>
      <c r="BS168" s="29"/>
    </row>
    <row r="169" spans="1:71" ht="13.2">
      <c r="A169" s="19"/>
      <c r="B169" s="20"/>
      <c r="C169" s="20"/>
      <c r="D169" s="21"/>
      <c r="E169" s="20"/>
      <c r="F169" s="20"/>
      <c r="G169" s="22"/>
      <c r="H169" s="22"/>
      <c r="I169" s="20"/>
      <c r="J169" s="20"/>
      <c r="K169" s="20"/>
      <c r="L169" s="22"/>
      <c r="M169" s="22"/>
      <c r="N169" s="22"/>
      <c r="O169" s="22"/>
      <c r="P169" s="22"/>
      <c r="Q169" s="22"/>
      <c r="R169" s="22"/>
      <c r="S169" s="20"/>
      <c r="T169" s="20"/>
      <c r="U169" s="20"/>
      <c r="V169" s="22"/>
      <c r="W169" s="20"/>
      <c r="X169" s="22"/>
      <c r="Y169" s="22"/>
      <c r="Z169" s="22"/>
      <c r="AA169" s="22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19"/>
      <c r="BJ169" s="20"/>
      <c r="BK169" s="20"/>
      <c r="BL169" s="28"/>
      <c r="BM169" s="28"/>
      <c r="BN169" s="29"/>
      <c r="BO169" s="29"/>
      <c r="BP169" s="29"/>
      <c r="BQ169" s="29"/>
      <c r="BR169" s="29"/>
      <c r="BS169" s="29"/>
    </row>
    <row r="170" spans="1:71" ht="13.2">
      <c r="A170" s="19"/>
      <c r="B170" s="20"/>
      <c r="C170" s="20"/>
      <c r="D170" s="21"/>
      <c r="E170" s="20"/>
      <c r="F170" s="20"/>
      <c r="G170" s="22"/>
      <c r="H170" s="22"/>
      <c r="I170" s="20"/>
      <c r="J170" s="20"/>
      <c r="K170" s="20"/>
      <c r="L170" s="22"/>
      <c r="M170" s="22"/>
      <c r="N170" s="22"/>
      <c r="O170" s="22"/>
      <c r="P170" s="22"/>
      <c r="Q170" s="22"/>
      <c r="R170" s="22"/>
      <c r="S170" s="20"/>
      <c r="T170" s="20"/>
      <c r="U170" s="20"/>
      <c r="V170" s="22"/>
      <c r="W170" s="20"/>
      <c r="X170" s="22"/>
      <c r="Y170" s="22"/>
      <c r="Z170" s="22"/>
      <c r="AA170" s="22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19"/>
      <c r="BJ170" s="20"/>
      <c r="BK170" s="20"/>
      <c r="BL170" s="28"/>
      <c r="BM170" s="28"/>
      <c r="BN170" s="29"/>
      <c r="BO170" s="29"/>
      <c r="BP170" s="29"/>
      <c r="BQ170" s="29"/>
      <c r="BR170" s="29"/>
      <c r="BS170" s="29"/>
    </row>
    <row r="171" spans="1:71" ht="13.2">
      <c r="A171" s="19"/>
      <c r="B171" s="20"/>
      <c r="C171" s="20"/>
      <c r="D171" s="21"/>
      <c r="E171" s="20"/>
      <c r="F171" s="20"/>
      <c r="G171" s="22"/>
      <c r="H171" s="22"/>
      <c r="I171" s="20"/>
      <c r="J171" s="20"/>
      <c r="K171" s="20"/>
      <c r="L171" s="22"/>
      <c r="M171" s="22"/>
      <c r="N171" s="22"/>
      <c r="O171" s="22"/>
      <c r="P171" s="22"/>
      <c r="Q171" s="22"/>
      <c r="R171" s="22"/>
      <c r="S171" s="20"/>
      <c r="T171" s="20"/>
      <c r="U171" s="20"/>
      <c r="V171" s="22"/>
      <c r="W171" s="20"/>
      <c r="X171" s="22"/>
      <c r="Y171" s="22"/>
      <c r="Z171" s="22"/>
      <c r="AA171" s="22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19"/>
      <c r="BJ171" s="20"/>
      <c r="BK171" s="20"/>
      <c r="BL171" s="28"/>
      <c r="BM171" s="28"/>
      <c r="BN171" s="29"/>
      <c r="BO171" s="29"/>
      <c r="BP171" s="29"/>
      <c r="BQ171" s="29"/>
      <c r="BR171" s="29"/>
      <c r="BS171" s="29"/>
    </row>
    <row r="172" spans="1:71" ht="13.2">
      <c r="A172" s="19"/>
      <c r="B172" s="20"/>
      <c r="C172" s="20"/>
      <c r="D172" s="21"/>
      <c r="E172" s="20"/>
      <c r="F172" s="20"/>
      <c r="G172" s="22"/>
      <c r="H172" s="22"/>
      <c r="I172" s="20"/>
      <c r="J172" s="20"/>
      <c r="K172" s="20"/>
      <c r="L172" s="22"/>
      <c r="M172" s="22"/>
      <c r="N172" s="22"/>
      <c r="O172" s="22"/>
      <c r="P172" s="22"/>
      <c r="Q172" s="22"/>
      <c r="R172" s="22"/>
      <c r="S172" s="20"/>
      <c r="T172" s="20"/>
      <c r="U172" s="20"/>
      <c r="V172" s="22"/>
      <c r="W172" s="20"/>
      <c r="X172" s="22"/>
      <c r="Y172" s="22"/>
      <c r="Z172" s="22"/>
      <c r="AA172" s="22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19"/>
      <c r="BJ172" s="20"/>
      <c r="BK172" s="20"/>
      <c r="BL172" s="28"/>
      <c r="BM172" s="28"/>
      <c r="BN172" s="29"/>
      <c r="BO172" s="29"/>
      <c r="BP172" s="29"/>
      <c r="BQ172" s="29"/>
      <c r="BR172" s="29"/>
      <c r="BS172" s="29"/>
    </row>
    <row r="173" spans="1:71" ht="13.2">
      <c r="A173" s="19"/>
      <c r="B173" s="20"/>
      <c r="C173" s="20"/>
      <c r="D173" s="21"/>
      <c r="E173" s="20"/>
      <c r="F173" s="20"/>
      <c r="G173" s="22"/>
      <c r="H173" s="22"/>
      <c r="I173" s="20"/>
      <c r="J173" s="20"/>
      <c r="K173" s="20"/>
      <c r="L173" s="22"/>
      <c r="M173" s="22"/>
      <c r="N173" s="22"/>
      <c r="O173" s="22"/>
      <c r="P173" s="22"/>
      <c r="Q173" s="22"/>
      <c r="R173" s="22"/>
      <c r="S173" s="20"/>
      <c r="T173" s="20"/>
      <c r="U173" s="20"/>
      <c r="V173" s="22"/>
      <c r="W173" s="20"/>
      <c r="X173" s="22"/>
      <c r="Y173" s="22"/>
      <c r="Z173" s="22"/>
      <c r="AA173" s="22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19"/>
      <c r="BJ173" s="20"/>
      <c r="BK173" s="20"/>
      <c r="BL173" s="28"/>
      <c r="BM173" s="28"/>
      <c r="BN173" s="29"/>
      <c r="BO173" s="29"/>
      <c r="BP173" s="29"/>
      <c r="BQ173" s="29"/>
      <c r="BR173" s="29"/>
      <c r="BS173" s="29"/>
    </row>
    <row r="174" spans="1:71" ht="13.2">
      <c r="A174" s="19"/>
      <c r="B174" s="20"/>
      <c r="C174" s="20"/>
      <c r="D174" s="21"/>
      <c r="E174" s="20"/>
      <c r="F174" s="20"/>
      <c r="G174" s="22"/>
      <c r="H174" s="22"/>
      <c r="I174" s="20"/>
      <c r="J174" s="20"/>
      <c r="K174" s="20"/>
      <c r="L174" s="22"/>
      <c r="M174" s="22"/>
      <c r="N174" s="22"/>
      <c r="O174" s="22"/>
      <c r="P174" s="22"/>
      <c r="Q174" s="22"/>
      <c r="R174" s="22"/>
      <c r="S174" s="20"/>
      <c r="T174" s="20"/>
      <c r="U174" s="20"/>
      <c r="V174" s="22"/>
      <c r="W174" s="20"/>
      <c r="X174" s="22"/>
      <c r="Y174" s="22"/>
      <c r="Z174" s="22"/>
      <c r="AA174" s="22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19"/>
      <c r="BJ174" s="20"/>
      <c r="BK174" s="20"/>
      <c r="BL174" s="28"/>
      <c r="BM174" s="28"/>
      <c r="BN174" s="29"/>
      <c r="BO174" s="29"/>
      <c r="BP174" s="29"/>
      <c r="BQ174" s="29"/>
      <c r="BR174" s="29"/>
      <c r="BS174" s="29"/>
    </row>
    <row r="175" spans="1:71" ht="13.2">
      <c r="A175" s="19"/>
      <c r="B175" s="20"/>
      <c r="C175" s="20"/>
      <c r="D175" s="21"/>
      <c r="E175" s="20"/>
      <c r="F175" s="20"/>
      <c r="G175" s="22"/>
      <c r="H175" s="22"/>
      <c r="I175" s="20"/>
      <c r="J175" s="20"/>
      <c r="K175" s="20"/>
      <c r="L175" s="22"/>
      <c r="M175" s="22"/>
      <c r="N175" s="22"/>
      <c r="O175" s="22"/>
      <c r="P175" s="22"/>
      <c r="Q175" s="22"/>
      <c r="R175" s="22"/>
      <c r="S175" s="20"/>
      <c r="T175" s="20"/>
      <c r="U175" s="20"/>
      <c r="V175" s="22"/>
      <c r="W175" s="20"/>
      <c r="X175" s="22"/>
      <c r="Y175" s="22"/>
      <c r="Z175" s="22"/>
      <c r="AA175" s="22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19"/>
      <c r="BJ175" s="20"/>
      <c r="BK175" s="20"/>
      <c r="BL175" s="28"/>
      <c r="BM175" s="28"/>
      <c r="BN175" s="29"/>
      <c r="BO175" s="29"/>
      <c r="BP175" s="29"/>
      <c r="BQ175" s="29"/>
      <c r="BR175" s="29"/>
      <c r="BS175" s="29"/>
    </row>
    <row r="176" spans="1:71" ht="13.2">
      <c r="A176" s="19"/>
      <c r="B176" s="20"/>
      <c r="C176" s="20"/>
      <c r="D176" s="21"/>
      <c r="E176" s="20"/>
      <c r="F176" s="20"/>
      <c r="G176" s="22"/>
      <c r="H176" s="22"/>
      <c r="I176" s="20"/>
      <c r="J176" s="20"/>
      <c r="K176" s="20"/>
      <c r="L176" s="22"/>
      <c r="M176" s="22"/>
      <c r="N176" s="22"/>
      <c r="O176" s="22"/>
      <c r="P176" s="22"/>
      <c r="Q176" s="22"/>
      <c r="R176" s="22"/>
      <c r="S176" s="20"/>
      <c r="T176" s="20"/>
      <c r="U176" s="20"/>
      <c r="V176" s="22"/>
      <c r="W176" s="20"/>
      <c r="X176" s="22"/>
      <c r="Y176" s="22"/>
      <c r="Z176" s="22"/>
      <c r="AA176" s="22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19"/>
      <c r="BJ176" s="20"/>
      <c r="BK176" s="20"/>
      <c r="BL176" s="28"/>
      <c r="BM176" s="28"/>
      <c r="BN176" s="29"/>
      <c r="BO176" s="29"/>
      <c r="BP176" s="29"/>
      <c r="BQ176" s="29"/>
      <c r="BR176" s="29"/>
      <c r="BS176" s="29"/>
    </row>
    <row r="177" spans="1:71" ht="13.2">
      <c r="A177" s="19"/>
      <c r="B177" s="20"/>
      <c r="C177" s="20"/>
      <c r="D177" s="21"/>
      <c r="E177" s="20"/>
      <c r="F177" s="20"/>
      <c r="G177" s="22"/>
      <c r="H177" s="22"/>
      <c r="I177" s="20"/>
      <c r="J177" s="20"/>
      <c r="K177" s="20"/>
      <c r="L177" s="22"/>
      <c r="M177" s="22"/>
      <c r="N177" s="22"/>
      <c r="O177" s="22"/>
      <c r="P177" s="22"/>
      <c r="Q177" s="22"/>
      <c r="R177" s="22"/>
      <c r="S177" s="20"/>
      <c r="T177" s="20"/>
      <c r="U177" s="20"/>
      <c r="V177" s="22"/>
      <c r="W177" s="20"/>
      <c r="X177" s="22"/>
      <c r="Y177" s="22"/>
      <c r="Z177" s="22"/>
      <c r="AA177" s="22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19"/>
      <c r="BJ177" s="20"/>
      <c r="BK177" s="20"/>
      <c r="BL177" s="28"/>
      <c r="BM177" s="28"/>
      <c r="BN177" s="29"/>
      <c r="BO177" s="29"/>
      <c r="BP177" s="29"/>
      <c r="BQ177" s="29"/>
      <c r="BR177" s="29"/>
      <c r="BS177" s="29"/>
    </row>
    <row r="178" spans="1:71" ht="13.2">
      <c r="A178" s="19"/>
      <c r="B178" s="20"/>
      <c r="C178" s="20"/>
      <c r="D178" s="21"/>
      <c r="E178" s="20"/>
      <c r="F178" s="20"/>
      <c r="G178" s="22"/>
      <c r="H178" s="22"/>
      <c r="I178" s="20"/>
      <c r="J178" s="20"/>
      <c r="K178" s="20"/>
      <c r="L178" s="22"/>
      <c r="M178" s="22"/>
      <c r="N178" s="22"/>
      <c r="O178" s="22"/>
      <c r="P178" s="22"/>
      <c r="Q178" s="22"/>
      <c r="R178" s="22"/>
      <c r="S178" s="20"/>
      <c r="T178" s="20"/>
      <c r="U178" s="20"/>
      <c r="V178" s="22"/>
      <c r="W178" s="20"/>
      <c r="X178" s="22"/>
      <c r="Y178" s="22"/>
      <c r="Z178" s="22"/>
      <c r="AA178" s="22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19"/>
      <c r="BJ178" s="20"/>
      <c r="BK178" s="20"/>
      <c r="BL178" s="28"/>
      <c r="BM178" s="28"/>
      <c r="BN178" s="29"/>
      <c r="BO178" s="29"/>
      <c r="BP178" s="29"/>
      <c r="BQ178" s="29"/>
      <c r="BR178" s="29"/>
      <c r="BS178" s="29"/>
    </row>
    <row r="179" spans="1:71" ht="13.2">
      <c r="A179" s="19"/>
      <c r="B179" s="20"/>
      <c r="C179" s="20"/>
      <c r="D179" s="21"/>
      <c r="E179" s="20"/>
      <c r="F179" s="20"/>
      <c r="G179" s="22"/>
      <c r="H179" s="22"/>
      <c r="I179" s="20"/>
      <c r="J179" s="20"/>
      <c r="K179" s="20"/>
      <c r="L179" s="22"/>
      <c r="M179" s="22"/>
      <c r="N179" s="22"/>
      <c r="O179" s="22"/>
      <c r="P179" s="22"/>
      <c r="Q179" s="22"/>
      <c r="R179" s="22"/>
      <c r="S179" s="20"/>
      <c r="T179" s="20"/>
      <c r="U179" s="20"/>
      <c r="V179" s="22"/>
      <c r="W179" s="20"/>
      <c r="X179" s="22"/>
      <c r="Y179" s="22"/>
      <c r="Z179" s="22"/>
      <c r="AA179" s="22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19"/>
      <c r="BJ179" s="20"/>
      <c r="BK179" s="20"/>
      <c r="BL179" s="28"/>
      <c r="BM179" s="28"/>
      <c r="BN179" s="29"/>
      <c r="BO179" s="29"/>
      <c r="BP179" s="29"/>
      <c r="BQ179" s="29"/>
      <c r="BR179" s="29"/>
      <c r="BS179" s="29"/>
    </row>
    <row r="180" spans="1:71" ht="13.2">
      <c r="A180" s="19"/>
      <c r="B180" s="20"/>
      <c r="C180" s="20"/>
      <c r="D180" s="21"/>
      <c r="E180" s="20"/>
      <c r="F180" s="20"/>
      <c r="G180" s="22"/>
      <c r="H180" s="22"/>
      <c r="I180" s="20"/>
      <c r="J180" s="20"/>
      <c r="K180" s="20"/>
      <c r="L180" s="22"/>
      <c r="M180" s="22"/>
      <c r="N180" s="22"/>
      <c r="O180" s="22"/>
      <c r="P180" s="22"/>
      <c r="Q180" s="22"/>
      <c r="R180" s="22"/>
      <c r="S180" s="20"/>
      <c r="T180" s="20"/>
      <c r="U180" s="20"/>
      <c r="V180" s="22"/>
      <c r="W180" s="20"/>
      <c r="X180" s="22"/>
      <c r="Y180" s="22"/>
      <c r="Z180" s="22"/>
      <c r="AA180" s="22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19"/>
      <c r="BJ180" s="20"/>
      <c r="BK180" s="20"/>
      <c r="BL180" s="28"/>
      <c r="BM180" s="28"/>
      <c r="BN180" s="29"/>
      <c r="BO180" s="29"/>
      <c r="BP180" s="29"/>
      <c r="BQ180" s="29"/>
      <c r="BR180" s="29"/>
      <c r="BS180" s="29"/>
    </row>
    <row r="181" spans="1:71" ht="13.2">
      <c r="A181" s="19"/>
      <c r="B181" s="20"/>
      <c r="C181" s="20"/>
      <c r="D181" s="21"/>
      <c r="E181" s="20"/>
      <c r="F181" s="20"/>
      <c r="G181" s="22"/>
      <c r="H181" s="22"/>
      <c r="I181" s="20"/>
      <c r="J181" s="20"/>
      <c r="K181" s="20"/>
      <c r="L181" s="22"/>
      <c r="M181" s="22"/>
      <c r="N181" s="22"/>
      <c r="O181" s="22"/>
      <c r="P181" s="22"/>
      <c r="Q181" s="22"/>
      <c r="R181" s="22"/>
      <c r="S181" s="20"/>
      <c r="T181" s="20"/>
      <c r="U181" s="20"/>
      <c r="V181" s="22"/>
      <c r="W181" s="20"/>
      <c r="X181" s="22"/>
      <c r="Y181" s="22"/>
      <c r="Z181" s="22"/>
      <c r="AA181" s="22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19"/>
      <c r="BJ181" s="20"/>
      <c r="BK181" s="20"/>
      <c r="BL181" s="28"/>
      <c r="BM181" s="28"/>
      <c r="BN181" s="29"/>
      <c r="BO181" s="29"/>
      <c r="BP181" s="29"/>
      <c r="BQ181" s="29"/>
      <c r="BR181" s="29"/>
      <c r="BS181" s="29"/>
    </row>
    <row r="182" spans="1:71" ht="13.2">
      <c r="A182" s="19"/>
      <c r="B182" s="20"/>
      <c r="C182" s="20"/>
      <c r="D182" s="21"/>
      <c r="E182" s="20"/>
      <c r="F182" s="20"/>
      <c r="G182" s="22"/>
      <c r="H182" s="22"/>
      <c r="I182" s="20"/>
      <c r="J182" s="20"/>
      <c r="K182" s="20"/>
      <c r="L182" s="22"/>
      <c r="M182" s="22"/>
      <c r="N182" s="22"/>
      <c r="O182" s="22"/>
      <c r="P182" s="22"/>
      <c r="Q182" s="22"/>
      <c r="R182" s="22"/>
      <c r="S182" s="20"/>
      <c r="T182" s="20"/>
      <c r="U182" s="20"/>
      <c r="V182" s="22"/>
      <c r="W182" s="20"/>
      <c r="X182" s="22"/>
      <c r="Y182" s="22"/>
      <c r="Z182" s="22"/>
      <c r="AA182" s="22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19"/>
      <c r="BJ182" s="20"/>
      <c r="BK182" s="20"/>
      <c r="BL182" s="28"/>
      <c r="BM182" s="28"/>
      <c r="BN182" s="29"/>
      <c r="BO182" s="29"/>
      <c r="BP182" s="29"/>
      <c r="BQ182" s="29"/>
      <c r="BR182" s="29"/>
      <c r="BS182" s="29"/>
    </row>
    <row r="183" spans="1:71" ht="13.2">
      <c r="A183" s="19"/>
      <c r="B183" s="20"/>
      <c r="C183" s="20"/>
      <c r="D183" s="21"/>
      <c r="E183" s="20"/>
      <c r="F183" s="20"/>
      <c r="G183" s="22"/>
      <c r="H183" s="22"/>
      <c r="I183" s="20"/>
      <c r="J183" s="20"/>
      <c r="K183" s="20"/>
      <c r="L183" s="22"/>
      <c r="M183" s="22"/>
      <c r="N183" s="22"/>
      <c r="O183" s="22"/>
      <c r="P183" s="22"/>
      <c r="Q183" s="22"/>
      <c r="R183" s="22"/>
      <c r="S183" s="20"/>
      <c r="T183" s="20"/>
      <c r="U183" s="20"/>
      <c r="V183" s="22"/>
      <c r="W183" s="20"/>
      <c r="X183" s="22"/>
      <c r="Y183" s="22"/>
      <c r="Z183" s="22"/>
      <c r="AA183" s="22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19"/>
      <c r="BJ183" s="20"/>
      <c r="BK183" s="20"/>
      <c r="BL183" s="28"/>
      <c r="BM183" s="28"/>
      <c r="BN183" s="29"/>
      <c r="BO183" s="29"/>
      <c r="BP183" s="29"/>
      <c r="BQ183" s="29"/>
      <c r="BR183" s="29"/>
      <c r="BS183" s="29"/>
    </row>
    <row r="184" spans="1:71" ht="13.2">
      <c r="A184" s="19"/>
      <c r="B184" s="20"/>
      <c r="C184" s="20"/>
      <c r="D184" s="21"/>
      <c r="E184" s="20"/>
      <c r="F184" s="20"/>
      <c r="G184" s="22"/>
      <c r="H184" s="22"/>
      <c r="I184" s="20"/>
      <c r="J184" s="20"/>
      <c r="K184" s="20"/>
      <c r="L184" s="22"/>
      <c r="M184" s="22"/>
      <c r="N184" s="22"/>
      <c r="O184" s="22"/>
      <c r="P184" s="22"/>
      <c r="Q184" s="22"/>
      <c r="R184" s="22"/>
      <c r="S184" s="20"/>
      <c r="T184" s="20"/>
      <c r="U184" s="20"/>
      <c r="V184" s="22"/>
      <c r="W184" s="20"/>
      <c r="X184" s="22"/>
      <c r="Y184" s="22"/>
      <c r="Z184" s="22"/>
      <c r="AA184" s="22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19"/>
      <c r="BJ184" s="20"/>
      <c r="BK184" s="20"/>
      <c r="BL184" s="28"/>
      <c r="BM184" s="28"/>
      <c r="BN184" s="29"/>
      <c r="BO184" s="29"/>
      <c r="BP184" s="29"/>
      <c r="BQ184" s="29"/>
      <c r="BR184" s="29"/>
      <c r="BS184" s="29"/>
    </row>
    <row r="185" spans="1:71" ht="13.2">
      <c r="A185" s="19"/>
      <c r="B185" s="20"/>
      <c r="C185" s="20"/>
      <c r="D185" s="21"/>
      <c r="E185" s="20"/>
      <c r="F185" s="20"/>
      <c r="G185" s="22"/>
      <c r="H185" s="22"/>
      <c r="I185" s="20"/>
      <c r="J185" s="20"/>
      <c r="K185" s="20"/>
      <c r="L185" s="22"/>
      <c r="M185" s="22"/>
      <c r="N185" s="22"/>
      <c r="O185" s="22"/>
      <c r="P185" s="22"/>
      <c r="Q185" s="22"/>
      <c r="R185" s="22"/>
      <c r="S185" s="20"/>
      <c r="T185" s="20"/>
      <c r="U185" s="20"/>
      <c r="V185" s="22"/>
      <c r="W185" s="20"/>
      <c r="X185" s="22"/>
      <c r="Y185" s="22"/>
      <c r="Z185" s="22"/>
      <c r="AA185" s="22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19"/>
      <c r="BJ185" s="20"/>
      <c r="BK185" s="20"/>
      <c r="BL185" s="28"/>
      <c r="BM185" s="28"/>
      <c r="BN185" s="29"/>
      <c r="BO185" s="29"/>
      <c r="BP185" s="29"/>
      <c r="BQ185" s="29"/>
      <c r="BR185" s="29"/>
      <c r="BS185" s="29"/>
    </row>
    <row r="186" spans="1:71" ht="13.2">
      <c r="A186" s="19"/>
      <c r="B186" s="20"/>
      <c r="C186" s="20"/>
      <c r="D186" s="21"/>
      <c r="E186" s="20"/>
      <c r="F186" s="20"/>
      <c r="G186" s="22"/>
      <c r="H186" s="22"/>
      <c r="I186" s="20"/>
      <c r="J186" s="20"/>
      <c r="K186" s="20"/>
      <c r="L186" s="22"/>
      <c r="M186" s="22"/>
      <c r="N186" s="22"/>
      <c r="O186" s="22"/>
      <c r="P186" s="22"/>
      <c r="Q186" s="22"/>
      <c r="R186" s="22"/>
      <c r="S186" s="20"/>
      <c r="T186" s="20"/>
      <c r="U186" s="20"/>
      <c r="V186" s="22"/>
      <c r="W186" s="20"/>
      <c r="X186" s="22"/>
      <c r="Y186" s="22"/>
      <c r="Z186" s="22"/>
      <c r="AA186" s="22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19"/>
      <c r="BJ186" s="20"/>
      <c r="BK186" s="20"/>
      <c r="BL186" s="28"/>
      <c r="BM186" s="28"/>
      <c r="BN186" s="29"/>
      <c r="BO186" s="29"/>
      <c r="BP186" s="29"/>
      <c r="BQ186" s="29"/>
      <c r="BR186" s="29"/>
      <c r="BS186" s="29"/>
    </row>
    <row r="187" spans="1:71" ht="13.2">
      <c r="A187" s="19"/>
      <c r="B187" s="20"/>
      <c r="C187" s="20"/>
      <c r="D187" s="21"/>
      <c r="E187" s="20"/>
      <c r="F187" s="20"/>
      <c r="G187" s="22"/>
      <c r="H187" s="22"/>
      <c r="I187" s="20"/>
      <c r="J187" s="20"/>
      <c r="K187" s="20"/>
      <c r="L187" s="22"/>
      <c r="M187" s="22"/>
      <c r="N187" s="22"/>
      <c r="O187" s="22"/>
      <c r="P187" s="22"/>
      <c r="Q187" s="22"/>
      <c r="R187" s="22"/>
      <c r="S187" s="20"/>
      <c r="T187" s="20"/>
      <c r="U187" s="20"/>
      <c r="V187" s="22"/>
      <c r="W187" s="20"/>
      <c r="X187" s="22"/>
      <c r="Y187" s="22"/>
      <c r="Z187" s="22"/>
      <c r="AA187" s="22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19"/>
      <c r="BJ187" s="20"/>
      <c r="BK187" s="20"/>
      <c r="BL187" s="28"/>
      <c r="BM187" s="28"/>
      <c r="BN187" s="29"/>
      <c r="BO187" s="29"/>
      <c r="BP187" s="29"/>
      <c r="BQ187" s="29"/>
      <c r="BR187" s="29"/>
      <c r="BS187" s="29"/>
    </row>
    <row r="188" spans="1:71" ht="13.2">
      <c r="A188" s="19"/>
      <c r="B188" s="20"/>
      <c r="C188" s="20"/>
      <c r="D188" s="21"/>
      <c r="E188" s="20"/>
      <c r="F188" s="20"/>
      <c r="G188" s="22"/>
      <c r="H188" s="22"/>
      <c r="I188" s="20"/>
      <c r="J188" s="20"/>
      <c r="K188" s="20"/>
      <c r="L188" s="22"/>
      <c r="M188" s="22"/>
      <c r="N188" s="22"/>
      <c r="O188" s="22"/>
      <c r="P188" s="22"/>
      <c r="Q188" s="22"/>
      <c r="R188" s="22"/>
      <c r="S188" s="20"/>
      <c r="T188" s="20"/>
      <c r="U188" s="20"/>
      <c r="V188" s="22"/>
      <c r="W188" s="20"/>
      <c r="X188" s="22"/>
      <c r="Y188" s="22"/>
      <c r="Z188" s="22"/>
      <c r="AA188" s="22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19"/>
      <c r="BJ188" s="20"/>
      <c r="BK188" s="20"/>
      <c r="BL188" s="28"/>
      <c r="BM188" s="28"/>
      <c r="BN188" s="29"/>
      <c r="BO188" s="29"/>
      <c r="BP188" s="29"/>
      <c r="BQ188" s="29"/>
      <c r="BR188" s="29"/>
      <c r="BS188" s="29"/>
    </row>
    <row r="189" spans="1:71" ht="13.2">
      <c r="A189" s="19"/>
      <c r="B189" s="20"/>
      <c r="C189" s="20"/>
      <c r="D189" s="21"/>
      <c r="E189" s="20"/>
      <c r="F189" s="20"/>
      <c r="G189" s="22"/>
      <c r="H189" s="22"/>
      <c r="I189" s="20"/>
      <c r="J189" s="20"/>
      <c r="K189" s="20"/>
      <c r="L189" s="22"/>
      <c r="M189" s="22"/>
      <c r="N189" s="22"/>
      <c r="O189" s="22"/>
      <c r="P189" s="22"/>
      <c r="Q189" s="22"/>
      <c r="R189" s="22"/>
      <c r="S189" s="20"/>
      <c r="T189" s="20"/>
      <c r="U189" s="20"/>
      <c r="V189" s="22"/>
      <c r="W189" s="20"/>
      <c r="X189" s="22"/>
      <c r="Y189" s="22"/>
      <c r="Z189" s="22"/>
      <c r="AA189" s="22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19"/>
      <c r="BJ189" s="20"/>
      <c r="BK189" s="20"/>
      <c r="BL189" s="28"/>
      <c r="BM189" s="28"/>
      <c r="BN189" s="29"/>
      <c r="BO189" s="29"/>
      <c r="BP189" s="29"/>
      <c r="BQ189" s="29"/>
      <c r="BR189" s="29"/>
      <c r="BS189" s="29"/>
    </row>
    <row r="190" spans="1:71" ht="13.2">
      <c r="A190" s="19"/>
      <c r="B190" s="20"/>
      <c r="C190" s="20"/>
      <c r="D190" s="21"/>
      <c r="E190" s="20"/>
      <c r="F190" s="20"/>
      <c r="G190" s="22"/>
      <c r="H190" s="22"/>
      <c r="I190" s="20"/>
      <c r="J190" s="20"/>
      <c r="K190" s="20"/>
      <c r="L190" s="22"/>
      <c r="M190" s="22"/>
      <c r="N190" s="22"/>
      <c r="O190" s="22"/>
      <c r="P190" s="22"/>
      <c r="Q190" s="22"/>
      <c r="R190" s="22"/>
      <c r="S190" s="20"/>
      <c r="T190" s="20"/>
      <c r="U190" s="20"/>
      <c r="V190" s="22"/>
      <c r="W190" s="20"/>
      <c r="X190" s="22"/>
      <c r="Y190" s="22"/>
      <c r="Z190" s="22"/>
      <c r="AA190" s="22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19"/>
      <c r="BJ190" s="20"/>
      <c r="BK190" s="20"/>
      <c r="BL190" s="28"/>
      <c r="BM190" s="28"/>
      <c r="BN190" s="29"/>
      <c r="BO190" s="29"/>
      <c r="BP190" s="29"/>
      <c r="BQ190" s="29"/>
      <c r="BR190" s="29"/>
      <c r="BS190" s="29"/>
    </row>
    <row r="191" spans="1:71" ht="13.2">
      <c r="A191" s="19"/>
      <c r="B191" s="20"/>
      <c r="C191" s="20"/>
      <c r="D191" s="21"/>
      <c r="E191" s="20"/>
      <c r="F191" s="20"/>
      <c r="G191" s="22"/>
      <c r="H191" s="22"/>
      <c r="I191" s="20"/>
      <c r="J191" s="20"/>
      <c r="K191" s="20"/>
      <c r="L191" s="22"/>
      <c r="M191" s="22"/>
      <c r="N191" s="22"/>
      <c r="O191" s="22"/>
      <c r="P191" s="22"/>
      <c r="Q191" s="22"/>
      <c r="R191" s="22"/>
      <c r="S191" s="20"/>
      <c r="T191" s="20"/>
      <c r="U191" s="20"/>
      <c r="V191" s="22"/>
      <c r="W191" s="20"/>
      <c r="X191" s="22"/>
      <c r="Y191" s="22"/>
      <c r="Z191" s="22"/>
      <c r="AA191" s="22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19"/>
      <c r="BJ191" s="20"/>
      <c r="BK191" s="20"/>
      <c r="BL191" s="28"/>
      <c r="BM191" s="28"/>
      <c r="BN191" s="29"/>
      <c r="BO191" s="29"/>
      <c r="BP191" s="29"/>
      <c r="BQ191" s="29"/>
      <c r="BR191" s="29"/>
      <c r="BS191" s="29"/>
    </row>
    <row r="192" spans="1:71" ht="13.2">
      <c r="A192" s="19"/>
      <c r="B192" s="20"/>
      <c r="C192" s="20"/>
      <c r="D192" s="21"/>
      <c r="E192" s="20"/>
      <c r="F192" s="20"/>
      <c r="G192" s="22"/>
      <c r="H192" s="22"/>
      <c r="I192" s="20"/>
      <c r="J192" s="20"/>
      <c r="K192" s="20"/>
      <c r="L192" s="22"/>
      <c r="M192" s="22"/>
      <c r="N192" s="22"/>
      <c r="O192" s="22"/>
      <c r="P192" s="22"/>
      <c r="Q192" s="22"/>
      <c r="R192" s="22"/>
      <c r="S192" s="20"/>
      <c r="T192" s="20"/>
      <c r="U192" s="20"/>
      <c r="V192" s="22"/>
      <c r="W192" s="20"/>
      <c r="X192" s="22"/>
      <c r="Y192" s="22"/>
      <c r="Z192" s="22"/>
      <c r="AA192" s="22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19"/>
      <c r="BJ192" s="20"/>
      <c r="BK192" s="20"/>
      <c r="BL192" s="28"/>
      <c r="BM192" s="28"/>
      <c r="BN192" s="29"/>
      <c r="BO192" s="29"/>
      <c r="BP192" s="29"/>
      <c r="BQ192" s="29"/>
      <c r="BR192" s="29"/>
      <c r="BS192" s="29"/>
    </row>
    <row r="193" spans="1:71" ht="13.2">
      <c r="A193" s="19"/>
      <c r="B193" s="20"/>
      <c r="C193" s="20"/>
      <c r="D193" s="21"/>
      <c r="E193" s="20"/>
      <c r="F193" s="20"/>
      <c r="G193" s="22"/>
      <c r="H193" s="22"/>
      <c r="I193" s="20"/>
      <c r="J193" s="20"/>
      <c r="K193" s="20"/>
      <c r="L193" s="22"/>
      <c r="M193" s="22"/>
      <c r="N193" s="22"/>
      <c r="O193" s="22"/>
      <c r="P193" s="22"/>
      <c r="Q193" s="22"/>
      <c r="R193" s="22"/>
      <c r="S193" s="20"/>
      <c r="T193" s="20"/>
      <c r="U193" s="20"/>
      <c r="V193" s="22"/>
      <c r="W193" s="20"/>
      <c r="X193" s="22"/>
      <c r="Y193" s="22"/>
      <c r="Z193" s="22"/>
      <c r="AA193" s="22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19"/>
      <c r="BJ193" s="20"/>
      <c r="BK193" s="20"/>
      <c r="BL193" s="28"/>
      <c r="BM193" s="28"/>
      <c r="BN193" s="29"/>
      <c r="BO193" s="29"/>
      <c r="BP193" s="29"/>
      <c r="BQ193" s="29"/>
      <c r="BR193" s="29"/>
      <c r="BS193" s="29"/>
    </row>
    <row r="194" spans="1:71" ht="13.2">
      <c r="A194" s="19"/>
      <c r="B194" s="20"/>
      <c r="C194" s="20"/>
      <c r="D194" s="21"/>
      <c r="E194" s="20"/>
      <c r="F194" s="20"/>
      <c r="G194" s="22"/>
      <c r="H194" s="22"/>
      <c r="I194" s="20"/>
      <c r="J194" s="20"/>
      <c r="K194" s="20"/>
      <c r="L194" s="22"/>
      <c r="M194" s="22"/>
      <c r="N194" s="22"/>
      <c r="O194" s="22"/>
      <c r="P194" s="22"/>
      <c r="Q194" s="22"/>
      <c r="R194" s="22"/>
      <c r="S194" s="20"/>
      <c r="T194" s="20"/>
      <c r="U194" s="20"/>
      <c r="V194" s="22"/>
      <c r="W194" s="20"/>
      <c r="X194" s="22"/>
      <c r="Y194" s="22"/>
      <c r="Z194" s="22"/>
      <c r="AA194" s="22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19"/>
      <c r="BJ194" s="20"/>
      <c r="BK194" s="20"/>
      <c r="BL194" s="28"/>
      <c r="BM194" s="28"/>
      <c r="BN194" s="29"/>
      <c r="BO194" s="29"/>
      <c r="BP194" s="29"/>
      <c r="BQ194" s="29"/>
      <c r="BR194" s="29"/>
      <c r="BS194" s="29"/>
    </row>
    <row r="195" spans="1:71" ht="13.2">
      <c r="A195" s="19"/>
      <c r="B195" s="20"/>
      <c r="C195" s="20"/>
      <c r="D195" s="21"/>
      <c r="E195" s="20"/>
      <c r="F195" s="20"/>
      <c r="G195" s="22"/>
      <c r="H195" s="22"/>
      <c r="I195" s="20"/>
      <c r="J195" s="20"/>
      <c r="K195" s="20"/>
      <c r="L195" s="22"/>
      <c r="M195" s="22"/>
      <c r="N195" s="22"/>
      <c r="O195" s="22"/>
      <c r="P195" s="22"/>
      <c r="Q195" s="22"/>
      <c r="R195" s="22"/>
      <c r="S195" s="20"/>
      <c r="T195" s="20"/>
      <c r="U195" s="20"/>
      <c r="V195" s="22"/>
      <c r="W195" s="20"/>
      <c r="X195" s="22"/>
      <c r="Y195" s="22"/>
      <c r="Z195" s="22"/>
      <c r="AA195" s="22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19"/>
      <c r="BJ195" s="20"/>
      <c r="BK195" s="20"/>
      <c r="BL195" s="28"/>
      <c r="BM195" s="28"/>
      <c r="BN195" s="29"/>
      <c r="BO195" s="29"/>
      <c r="BP195" s="29"/>
      <c r="BQ195" s="29"/>
      <c r="BR195" s="29"/>
      <c r="BS195" s="29"/>
    </row>
    <row r="196" spans="1:71" ht="13.2">
      <c r="A196" s="19"/>
      <c r="B196" s="20"/>
      <c r="C196" s="20"/>
      <c r="D196" s="21"/>
      <c r="E196" s="20"/>
      <c r="F196" s="20"/>
      <c r="G196" s="22"/>
      <c r="H196" s="22"/>
      <c r="I196" s="20"/>
      <c r="J196" s="20"/>
      <c r="K196" s="20"/>
      <c r="L196" s="22"/>
      <c r="M196" s="22"/>
      <c r="N196" s="22"/>
      <c r="O196" s="22"/>
      <c r="P196" s="22"/>
      <c r="Q196" s="22"/>
      <c r="R196" s="22"/>
      <c r="S196" s="20"/>
      <c r="T196" s="20"/>
      <c r="U196" s="20"/>
      <c r="V196" s="22"/>
      <c r="W196" s="20"/>
      <c r="X196" s="22"/>
      <c r="Y196" s="22"/>
      <c r="Z196" s="22"/>
      <c r="AA196" s="22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19"/>
      <c r="BJ196" s="20"/>
      <c r="BK196" s="20"/>
      <c r="BL196" s="28"/>
      <c r="BM196" s="28"/>
      <c r="BN196" s="29"/>
      <c r="BO196" s="29"/>
      <c r="BP196" s="29"/>
      <c r="BQ196" s="29"/>
      <c r="BR196" s="29"/>
      <c r="BS196" s="29"/>
    </row>
    <row r="197" spans="1:71" ht="13.2">
      <c r="A197" s="19"/>
      <c r="B197" s="20"/>
      <c r="C197" s="20"/>
      <c r="D197" s="21"/>
      <c r="E197" s="20"/>
      <c r="F197" s="20"/>
      <c r="G197" s="22"/>
      <c r="H197" s="22"/>
      <c r="I197" s="20"/>
      <c r="J197" s="20"/>
      <c r="K197" s="20"/>
      <c r="L197" s="22"/>
      <c r="M197" s="22"/>
      <c r="N197" s="22"/>
      <c r="O197" s="22"/>
      <c r="P197" s="22"/>
      <c r="Q197" s="22"/>
      <c r="R197" s="22"/>
      <c r="S197" s="20"/>
      <c r="T197" s="20"/>
      <c r="U197" s="20"/>
      <c r="V197" s="22"/>
      <c r="W197" s="20"/>
      <c r="X197" s="22"/>
      <c r="Y197" s="22"/>
      <c r="Z197" s="22"/>
      <c r="AA197" s="22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19"/>
      <c r="BJ197" s="20"/>
      <c r="BK197" s="20"/>
      <c r="BL197" s="28"/>
      <c r="BM197" s="28"/>
      <c r="BN197" s="29"/>
      <c r="BO197" s="29"/>
      <c r="BP197" s="29"/>
      <c r="BQ197" s="29"/>
      <c r="BR197" s="29"/>
      <c r="BS197" s="29"/>
    </row>
    <row r="198" spans="1:71" ht="13.2">
      <c r="A198" s="19"/>
      <c r="B198" s="20"/>
      <c r="C198" s="20"/>
      <c r="D198" s="21"/>
      <c r="E198" s="20"/>
      <c r="F198" s="20"/>
      <c r="G198" s="22"/>
      <c r="H198" s="22"/>
      <c r="I198" s="20"/>
      <c r="J198" s="20"/>
      <c r="K198" s="20"/>
      <c r="L198" s="22"/>
      <c r="M198" s="22"/>
      <c r="N198" s="22"/>
      <c r="O198" s="22"/>
      <c r="P198" s="22"/>
      <c r="Q198" s="22"/>
      <c r="R198" s="22"/>
      <c r="S198" s="20"/>
      <c r="T198" s="20"/>
      <c r="U198" s="20"/>
      <c r="V198" s="22"/>
      <c r="W198" s="20"/>
      <c r="X198" s="22"/>
      <c r="Y198" s="22"/>
      <c r="Z198" s="22"/>
      <c r="AA198" s="22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19"/>
      <c r="BJ198" s="20"/>
      <c r="BK198" s="20"/>
      <c r="BL198" s="28"/>
      <c r="BM198" s="28"/>
      <c r="BN198" s="29"/>
      <c r="BO198" s="29"/>
      <c r="BP198" s="29"/>
      <c r="BQ198" s="29"/>
      <c r="BR198" s="29"/>
      <c r="BS198" s="29"/>
    </row>
    <row r="199" spans="1:71" ht="13.2">
      <c r="A199" s="19"/>
      <c r="B199" s="20"/>
      <c r="C199" s="20"/>
      <c r="D199" s="21"/>
      <c r="E199" s="20"/>
      <c r="F199" s="20"/>
      <c r="G199" s="22"/>
      <c r="H199" s="22"/>
      <c r="I199" s="20"/>
      <c r="J199" s="20"/>
      <c r="K199" s="20"/>
      <c r="L199" s="22"/>
      <c r="M199" s="22"/>
      <c r="N199" s="22"/>
      <c r="O199" s="22"/>
      <c r="P199" s="22"/>
      <c r="Q199" s="22"/>
      <c r="R199" s="22"/>
      <c r="S199" s="20"/>
      <c r="T199" s="20"/>
      <c r="U199" s="20"/>
      <c r="V199" s="22"/>
      <c r="W199" s="20"/>
      <c r="X199" s="22"/>
      <c r="Y199" s="22"/>
      <c r="Z199" s="22"/>
      <c r="AA199" s="22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19"/>
      <c r="BJ199" s="20"/>
      <c r="BK199" s="20"/>
      <c r="BL199" s="28"/>
      <c r="BM199" s="28"/>
      <c r="BN199" s="29"/>
      <c r="BO199" s="29"/>
      <c r="BP199" s="29"/>
      <c r="BQ199" s="29"/>
      <c r="BR199" s="29"/>
      <c r="BS199" s="29"/>
    </row>
    <row r="200" spans="1:71" ht="13.2">
      <c r="A200" s="19"/>
      <c r="B200" s="20"/>
      <c r="C200" s="20"/>
      <c r="D200" s="21"/>
      <c r="E200" s="20"/>
      <c r="F200" s="20"/>
      <c r="G200" s="22"/>
      <c r="H200" s="22"/>
      <c r="I200" s="20"/>
      <c r="J200" s="20"/>
      <c r="K200" s="20"/>
      <c r="L200" s="22"/>
      <c r="M200" s="22"/>
      <c r="N200" s="22"/>
      <c r="O200" s="22"/>
      <c r="P200" s="22"/>
      <c r="Q200" s="22"/>
      <c r="R200" s="22"/>
      <c r="S200" s="20"/>
      <c r="T200" s="20"/>
      <c r="U200" s="20"/>
      <c r="V200" s="22"/>
      <c r="W200" s="20"/>
      <c r="X200" s="22"/>
      <c r="Y200" s="22"/>
      <c r="Z200" s="22"/>
      <c r="AA200" s="22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19"/>
      <c r="BJ200" s="20"/>
      <c r="BK200" s="20"/>
      <c r="BL200" s="28"/>
      <c r="BM200" s="28"/>
      <c r="BN200" s="29"/>
      <c r="BO200" s="29"/>
      <c r="BP200" s="29"/>
      <c r="BQ200" s="29"/>
      <c r="BR200" s="29"/>
      <c r="BS200" s="29"/>
    </row>
    <row r="201" spans="1:71" ht="13.2">
      <c r="A201" s="19"/>
      <c r="B201" s="20"/>
      <c r="C201" s="20"/>
      <c r="D201" s="21"/>
      <c r="E201" s="20"/>
      <c r="F201" s="20"/>
      <c r="G201" s="22"/>
      <c r="H201" s="22"/>
      <c r="I201" s="20"/>
      <c r="J201" s="20"/>
      <c r="K201" s="20"/>
      <c r="L201" s="22"/>
      <c r="M201" s="22"/>
      <c r="N201" s="22"/>
      <c r="O201" s="22"/>
      <c r="P201" s="22"/>
      <c r="Q201" s="22"/>
      <c r="R201" s="22"/>
      <c r="S201" s="20"/>
      <c r="T201" s="20"/>
      <c r="U201" s="20"/>
      <c r="V201" s="22"/>
      <c r="W201" s="20"/>
      <c r="X201" s="22"/>
      <c r="Y201" s="22"/>
      <c r="Z201" s="22"/>
      <c r="AA201" s="22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19"/>
      <c r="BJ201" s="20"/>
      <c r="BK201" s="20"/>
      <c r="BL201" s="28"/>
      <c r="BM201" s="28"/>
      <c r="BN201" s="29"/>
      <c r="BO201" s="29"/>
      <c r="BP201" s="29"/>
      <c r="BQ201" s="29"/>
      <c r="BR201" s="29"/>
      <c r="BS201" s="29"/>
    </row>
    <row r="202" spans="1:71" ht="13.2">
      <c r="A202" s="19"/>
      <c r="B202" s="20"/>
      <c r="C202" s="20"/>
      <c r="D202" s="21"/>
      <c r="E202" s="20"/>
      <c r="F202" s="20"/>
      <c r="G202" s="22"/>
      <c r="H202" s="22"/>
      <c r="I202" s="20"/>
      <c r="J202" s="20"/>
      <c r="K202" s="20"/>
      <c r="L202" s="22"/>
      <c r="M202" s="22"/>
      <c r="N202" s="22"/>
      <c r="O202" s="22"/>
      <c r="P202" s="22"/>
      <c r="Q202" s="22"/>
      <c r="R202" s="22"/>
      <c r="S202" s="20"/>
      <c r="T202" s="20"/>
      <c r="U202" s="20"/>
      <c r="V202" s="22"/>
      <c r="W202" s="20"/>
      <c r="X202" s="22"/>
      <c r="Y202" s="22"/>
      <c r="Z202" s="22"/>
      <c r="AA202" s="22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19"/>
      <c r="BJ202" s="20"/>
      <c r="BK202" s="20"/>
      <c r="BL202" s="28"/>
      <c r="BM202" s="28"/>
      <c r="BN202" s="29"/>
      <c r="BO202" s="29"/>
      <c r="BP202" s="29"/>
      <c r="BQ202" s="29"/>
      <c r="BR202" s="29"/>
      <c r="BS202" s="29"/>
    </row>
    <row r="203" spans="1:71" ht="13.2">
      <c r="A203" s="19"/>
      <c r="B203" s="20"/>
      <c r="C203" s="20"/>
      <c r="D203" s="21"/>
      <c r="E203" s="20"/>
      <c r="F203" s="20"/>
      <c r="G203" s="22"/>
      <c r="H203" s="22"/>
      <c r="I203" s="20"/>
      <c r="J203" s="20"/>
      <c r="K203" s="20"/>
      <c r="L203" s="22"/>
      <c r="M203" s="22"/>
      <c r="N203" s="22"/>
      <c r="O203" s="22"/>
      <c r="P203" s="22"/>
      <c r="Q203" s="22"/>
      <c r="R203" s="22"/>
      <c r="S203" s="20"/>
      <c r="T203" s="20"/>
      <c r="U203" s="20"/>
      <c r="V203" s="22"/>
      <c r="W203" s="20"/>
      <c r="X203" s="22"/>
      <c r="Y203" s="22"/>
      <c r="Z203" s="22"/>
      <c r="AA203" s="22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19"/>
      <c r="BJ203" s="20"/>
      <c r="BK203" s="20"/>
      <c r="BL203" s="28"/>
      <c r="BM203" s="28"/>
      <c r="BN203" s="29"/>
      <c r="BO203" s="29"/>
      <c r="BP203" s="29"/>
      <c r="BQ203" s="29"/>
      <c r="BR203" s="29"/>
      <c r="BS203" s="29"/>
    </row>
    <row r="204" spans="1:71" ht="13.2">
      <c r="A204" s="19"/>
      <c r="B204" s="20"/>
      <c r="C204" s="20"/>
      <c r="D204" s="21"/>
      <c r="E204" s="20"/>
      <c r="F204" s="20"/>
      <c r="G204" s="22"/>
      <c r="H204" s="22"/>
      <c r="I204" s="20"/>
      <c r="J204" s="20"/>
      <c r="K204" s="20"/>
      <c r="L204" s="22"/>
      <c r="M204" s="22"/>
      <c r="N204" s="22"/>
      <c r="O204" s="22"/>
      <c r="P204" s="22"/>
      <c r="Q204" s="22"/>
      <c r="R204" s="22"/>
      <c r="S204" s="20"/>
      <c r="T204" s="20"/>
      <c r="U204" s="20"/>
      <c r="V204" s="22"/>
      <c r="W204" s="20"/>
      <c r="X204" s="22"/>
      <c r="Y204" s="22"/>
      <c r="Z204" s="22"/>
      <c r="AA204" s="22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19"/>
      <c r="BJ204" s="20"/>
      <c r="BK204" s="20"/>
      <c r="BL204" s="28"/>
      <c r="BM204" s="28"/>
      <c r="BN204" s="29"/>
      <c r="BO204" s="29"/>
      <c r="BP204" s="29"/>
      <c r="BQ204" s="29"/>
      <c r="BR204" s="29"/>
      <c r="BS204" s="29"/>
    </row>
    <row r="205" spans="1:71" ht="13.2">
      <c r="A205" s="19"/>
      <c r="B205" s="20"/>
      <c r="C205" s="20"/>
      <c r="D205" s="21"/>
      <c r="E205" s="20"/>
      <c r="F205" s="20"/>
      <c r="G205" s="22"/>
      <c r="H205" s="22"/>
      <c r="I205" s="20"/>
      <c r="J205" s="20"/>
      <c r="K205" s="20"/>
      <c r="L205" s="22"/>
      <c r="M205" s="22"/>
      <c r="N205" s="22"/>
      <c r="O205" s="22"/>
      <c r="P205" s="22"/>
      <c r="Q205" s="22"/>
      <c r="R205" s="22"/>
      <c r="S205" s="20"/>
      <c r="T205" s="20"/>
      <c r="U205" s="20"/>
      <c r="V205" s="22"/>
      <c r="W205" s="20"/>
      <c r="X205" s="22"/>
      <c r="Y205" s="22"/>
      <c r="Z205" s="22"/>
      <c r="AA205" s="22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19"/>
      <c r="BJ205" s="20"/>
      <c r="BK205" s="20"/>
      <c r="BL205" s="28"/>
      <c r="BM205" s="28"/>
      <c r="BN205" s="29"/>
      <c r="BO205" s="29"/>
      <c r="BP205" s="29"/>
      <c r="BQ205" s="29"/>
      <c r="BR205" s="29"/>
      <c r="BS205" s="29"/>
    </row>
    <row r="206" spans="1:71" ht="13.2">
      <c r="A206" s="19"/>
      <c r="B206" s="20"/>
      <c r="C206" s="20"/>
      <c r="D206" s="21"/>
      <c r="E206" s="20"/>
      <c r="F206" s="20"/>
      <c r="G206" s="22"/>
      <c r="H206" s="22"/>
      <c r="I206" s="20"/>
      <c r="J206" s="20"/>
      <c r="K206" s="20"/>
      <c r="L206" s="22"/>
      <c r="M206" s="22"/>
      <c r="N206" s="22"/>
      <c r="O206" s="22"/>
      <c r="P206" s="22"/>
      <c r="Q206" s="22"/>
      <c r="R206" s="22"/>
      <c r="S206" s="20"/>
      <c r="T206" s="20"/>
      <c r="U206" s="20"/>
      <c r="V206" s="22"/>
      <c r="W206" s="20"/>
      <c r="X206" s="22"/>
      <c r="Y206" s="22"/>
      <c r="Z206" s="22"/>
      <c r="AA206" s="22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19"/>
      <c r="BJ206" s="20"/>
      <c r="BK206" s="20"/>
      <c r="BL206" s="28"/>
      <c r="BM206" s="28"/>
      <c r="BN206" s="29"/>
      <c r="BO206" s="29"/>
      <c r="BP206" s="29"/>
      <c r="BQ206" s="29"/>
      <c r="BR206" s="29"/>
      <c r="BS206" s="29"/>
    </row>
    <row r="207" spans="1:71" ht="13.2">
      <c r="A207" s="19"/>
      <c r="B207" s="20"/>
      <c r="C207" s="20"/>
      <c r="D207" s="21"/>
      <c r="E207" s="20"/>
      <c r="F207" s="20"/>
      <c r="G207" s="22"/>
      <c r="H207" s="22"/>
      <c r="I207" s="20"/>
      <c r="J207" s="20"/>
      <c r="K207" s="20"/>
      <c r="L207" s="22"/>
      <c r="M207" s="22"/>
      <c r="N207" s="22"/>
      <c r="O207" s="22"/>
      <c r="P207" s="22"/>
      <c r="Q207" s="22"/>
      <c r="R207" s="22"/>
      <c r="S207" s="20"/>
      <c r="T207" s="20"/>
      <c r="U207" s="20"/>
      <c r="V207" s="22"/>
      <c r="W207" s="20"/>
      <c r="X207" s="22"/>
      <c r="Y207" s="22"/>
      <c r="Z207" s="22"/>
      <c r="AA207" s="22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19"/>
      <c r="BJ207" s="20"/>
      <c r="BK207" s="20"/>
      <c r="BL207" s="28"/>
      <c r="BM207" s="28"/>
      <c r="BN207" s="29"/>
      <c r="BO207" s="29"/>
      <c r="BP207" s="29"/>
      <c r="BQ207" s="29"/>
      <c r="BR207" s="29"/>
      <c r="BS207" s="29"/>
    </row>
    <row r="208" spans="1:71" ht="13.2">
      <c r="A208" s="19"/>
      <c r="B208" s="20"/>
      <c r="C208" s="20"/>
      <c r="D208" s="21"/>
      <c r="E208" s="20"/>
      <c r="F208" s="20"/>
      <c r="G208" s="22"/>
      <c r="H208" s="22"/>
      <c r="I208" s="20"/>
      <c r="J208" s="20"/>
      <c r="K208" s="20"/>
      <c r="L208" s="22"/>
      <c r="M208" s="22"/>
      <c r="N208" s="22"/>
      <c r="O208" s="22"/>
      <c r="P208" s="22"/>
      <c r="Q208" s="22"/>
      <c r="R208" s="22"/>
      <c r="S208" s="20"/>
      <c r="T208" s="20"/>
      <c r="U208" s="20"/>
      <c r="V208" s="22"/>
      <c r="W208" s="20"/>
      <c r="X208" s="22"/>
      <c r="Y208" s="22"/>
      <c r="Z208" s="22"/>
      <c r="AA208" s="22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19"/>
      <c r="BJ208" s="20"/>
      <c r="BK208" s="20"/>
      <c r="BL208" s="28"/>
      <c r="BM208" s="28"/>
      <c r="BN208" s="29"/>
      <c r="BO208" s="29"/>
      <c r="BP208" s="29"/>
      <c r="BQ208" s="29"/>
      <c r="BR208" s="29"/>
      <c r="BS208" s="29"/>
    </row>
    <row r="209" spans="1:71" ht="13.2">
      <c r="A209" s="19"/>
      <c r="B209" s="20"/>
      <c r="C209" s="20"/>
      <c r="D209" s="21"/>
      <c r="E209" s="20"/>
      <c r="F209" s="20"/>
      <c r="G209" s="22"/>
      <c r="H209" s="22"/>
      <c r="I209" s="20"/>
      <c r="J209" s="20"/>
      <c r="K209" s="20"/>
      <c r="L209" s="22"/>
      <c r="M209" s="22"/>
      <c r="N209" s="22"/>
      <c r="O209" s="22"/>
      <c r="P209" s="22"/>
      <c r="Q209" s="22"/>
      <c r="R209" s="22"/>
      <c r="S209" s="20"/>
      <c r="T209" s="20"/>
      <c r="U209" s="20"/>
      <c r="V209" s="22"/>
      <c r="W209" s="20"/>
      <c r="X209" s="22"/>
      <c r="Y209" s="22"/>
      <c r="Z209" s="22"/>
      <c r="AA209" s="22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19"/>
      <c r="BJ209" s="20"/>
      <c r="BK209" s="20"/>
      <c r="BL209" s="28"/>
      <c r="BM209" s="28"/>
      <c r="BN209" s="29"/>
      <c r="BO209" s="29"/>
      <c r="BP209" s="29"/>
      <c r="BQ209" s="29"/>
      <c r="BR209" s="29"/>
      <c r="BS209" s="29"/>
    </row>
    <row r="210" spans="1:71" ht="13.2">
      <c r="A210" s="19"/>
      <c r="B210" s="20"/>
      <c r="C210" s="20"/>
      <c r="D210" s="21"/>
      <c r="E210" s="20"/>
      <c r="F210" s="20"/>
      <c r="G210" s="22"/>
      <c r="H210" s="22"/>
      <c r="I210" s="20"/>
      <c r="J210" s="20"/>
      <c r="K210" s="20"/>
      <c r="L210" s="22"/>
      <c r="M210" s="22"/>
      <c r="N210" s="22"/>
      <c r="O210" s="22"/>
      <c r="P210" s="22"/>
      <c r="Q210" s="22"/>
      <c r="R210" s="22"/>
      <c r="S210" s="20"/>
      <c r="T210" s="20"/>
      <c r="U210" s="20"/>
      <c r="V210" s="22"/>
      <c r="W210" s="20"/>
      <c r="X210" s="22"/>
      <c r="Y210" s="22"/>
      <c r="Z210" s="22"/>
      <c r="AA210" s="22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19"/>
      <c r="BJ210" s="20"/>
      <c r="BK210" s="20"/>
      <c r="BL210" s="28"/>
      <c r="BM210" s="28"/>
      <c r="BN210" s="29"/>
      <c r="BO210" s="29"/>
      <c r="BP210" s="29"/>
      <c r="BQ210" s="29"/>
      <c r="BR210" s="29"/>
      <c r="BS210" s="29"/>
    </row>
    <row r="211" spans="1:71" ht="13.2">
      <c r="A211" s="19"/>
      <c r="B211" s="20"/>
      <c r="C211" s="20"/>
      <c r="D211" s="21"/>
      <c r="E211" s="20"/>
      <c r="F211" s="20"/>
      <c r="G211" s="22"/>
      <c r="H211" s="22"/>
      <c r="I211" s="20"/>
      <c r="J211" s="20"/>
      <c r="K211" s="20"/>
      <c r="L211" s="22"/>
      <c r="M211" s="22"/>
      <c r="N211" s="22"/>
      <c r="O211" s="22"/>
      <c r="P211" s="22"/>
      <c r="Q211" s="22"/>
      <c r="R211" s="22"/>
      <c r="S211" s="20"/>
      <c r="T211" s="20"/>
      <c r="U211" s="20"/>
      <c r="V211" s="22"/>
      <c r="W211" s="20"/>
      <c r="X211" s="22"/>
      <c r="Y211" s="22"/>
      <c r="Z211" s="22"/>
      <c r="AA211" s="22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19"/>
      <c r="BJ211" s="20"/>
      <c r="BK211" s="20"/>
      <c r="BL211" s="28"/>
      <c r="BM211" s="28"/>
      <c r="BN211" s="29"/>
      <c r="BO211" s="29"/>
      <c r="BP211" s="29"/>
      <c r="BQ211" s="29"/>
      <c r="BR211" s="29"/>
      <c r="BS211" s="29"/>
    </row>
    <row r="212" spans="1:71" ht="13.2">
      <c r="A212" s="19"/>
      <c r="B212" s="20"/>
      <c r="C212" s="20"/>
      <c r="D212" s="21"/>
      <c r="E212" s="20"/>
      <c r="F212" s="20"/>
      <c r="G212" s="22"/>
      <c r="H212" s="22"/>
      <c r="I212" s="20"/>
      <c r="J212" s="20"/>
      <c r="K212" s="20"/>
      <c r="L212" s="22"/>
      <c r="M212" s="22"/>
      <c r="N212" s="22"/>
      <c r="O212" s="22"/>
      <c r="P212" s="22"/>
      <c r="Q212" s="22"/>
      <c r="R212" s="22"/>
      <c r="S212" s="20"/>
      <c r="T212" s="20"/>
      <c r="U212" s="20"/>
      <c r="V212" s="22"/>
      <c r="W212" s="20"/>
      <c r="X212" s="22"/>
      <c r="Y212" s="22"/>
      <c r="Z212" s="22"/>
      <c r="AA212" s="22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19"/>
      <c r="BJ212" s="20"/>
      <c r="BK212" s="20"/>
      <c r="BL212" s="28"/>
      <c r="BM212" s="28"/>
      <c r="BN212" s="29"/>
      <c r="BO212" s="29"/>
      <c r="BP212" s="29"/>
      <c r="BQ212" s="29"/>
      <c r="BR212" s="29"/>
      <c r="BS212" s="29"/>
    </row>
    <row r="213" spans="1:71" ht="13.2">
      <c r="A213" s="19"/>
      <c r="B213" s="20"/>
      <c r="C213" s="20"/>
      <c r="D213" s="21"/>
      <c r="E213" s="20"/>
      <c r="F213" s="20"/>
      <c r="G213" s="22"/>
      <c r="H213" s="22"/>
      <c r="I213" s="20"/>
      <c r="J213" s="20"/>
      <c r="K213" s="20"/>
      <c r="L213" s="22"/>
      <c r="M213" s="22"/>
      <c r="N213" s="22"/>
      <c r="O213" s="22"/>
      <c r="P213" s="22"/>
      <c r="Q213" s="22"/>
      <c r="R213" s="22"/>
      <c r="S213" s="20"/>
      <c r="T213" s="20"/>
      <c r="U213" s="20"/>
      <c r="V213" s="22"/>
      <c r="W213" s="20"/>
      <c r="X213" s="22"/>
      <c r="Y213" s="22"/>
      <c r="Z213" s="22"/>
      <c r="AA213" s="22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19"/>
      <c r="BJ213" s="20"/>
      <c r="BK213" s="20"/>
      <c r="BL213" s="28"/>
      <c r="BM213" s="28"/>
      <c r="BN213" s="29"/>
      <c r="BO213" s="29"/>
      <c r="BP213" s="29"/>
      <c r="BQ213" s="29"/>
      <c r="BR213" s="29"/>
      <c r="BS213" s="29"/>
    </row>
    <row r="214" spans="1:71" ht="13.2">
      <c r="A214" s="19"/>
      <c r="B214" s="20"/>
      <c r="C214" s="20"/>
      <c r="D214" s="21"/>
      <c r="E214" s="20"/>
      <c r="F214" s="20"/>
      <c r="G214" s="22"/>
      <c r="H214" s="22"/>
      <c r="I214" s="20"/>
      <c r="J214" s="20"/>
      <c r="K214" s="20"/>
      <c r="L214" s="22"/>
      <c r="M214" s="22"/>
      <c r="N214" s="22"/>
      <c r="O214" s="22"/>
      <c r="P214" s="22"/>
      <c r="Q214" s="22"/>
      <c r="R214" s="22"/>
      <c r="S214" s="20"/>
      <c r="T214" s="20"/>
      <c r="U214" s="20"/>
      <c r="V214" s="22"/>
      <c r="W214" s="20"/>
      <c r="X214" s="22"/>
      <c r="Y214" s="22"/>
      <c r="Z214" s="22"/>
      <c r="AA214" s="22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19"/>
      <c r="BJ214" s="20"/>
      <c r="BK214" s="20"/>
      <c r="BL214" s="28"/>
      <c r="BM214" s="28"/>
      <c r="BN214" s="29"/>
      <c r="BO214" s="29"/>
      <c r="BP214" s="29"/>
      <c r="BQ214" s="29"/>
      <c r="BR214" s="29"/>
      <c r="BS214" s="29"/>
    </row>
    <row r="215" spans="1:71" ht="13.2">
      <c r="A215" s="19"/>
      <c r="B215" s="20"/>
      <c r="C215" s="20"/>
      <c r="D215" s="21"/>
      <c r="E215" s="20"/>
      <c r="F215" s="20"/>
      <c r="G215" s="22"/>
      <c r="H215" s="22"/>
      <c r="I215" s="20"/>
      <c r="J215" s="20"/>
      <c r="K215" s="20"/>
      <c r="L215" s="22"/>
      <c r="M215" s="22"/>
      <c r="N215" s="22"/>
      <c r="O215" s="22"/>
      <c r="P215" s="22"/>
      <c r="Q215" s="22"/>
      <c r="R215" s="22"/>
      <c r="S215" s="20"/>
      <c r="T215" s="20"/>
      <c r="U215" s="20"/>
      <c r="V215" s="22"/>
      <c r="W215" s="20"/>
      <c r="X215" s="22"/>
      <c r="Y215" s="22"/>
      <c r="Z215" s="22"/>
      <c r="AA215" s="22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19"/>
      <c r="BJ215" s="20"/>
      <c r="BK215" s="20"/>
      <c r="BL215" s="28"/>
      <c r="BM215" s="28"/>
      <c r="BN215" s="29"/>
      <c r="BO215" s="29"/>
      <c r="BP215" s="29"/>
      <c r="BQ215" s="29"/>
      <c r="BR215" s="29"/>
      <c r="BS215" s="29"/>
    </row>
    <row r="216" spans="1:71" ht="13.2">
      <c r="A216" s="19"/>
      <c r="B216" s="20"/>
      <c r="C216" s="20"/>
      <c r="D216" s="21"/>
      <c r="E216" s="20"/>
      <c r="F216" s="20"/>
      <c r="G216" s="22"/>
      <c r="H216" s="22"/>
      <c r="I216" s="20"/>
      <c r="J216" s="20"/>
      <c r="K216" s="20"/>
      <c r="L216" s="22"/>
      <c r="M216" s="22"/>
      <c r="N216" s="22"/>
      <c r="O216" s="22"/>
      <c r="P216" s="22"/>
      <c r="Q216" s="22"/>
      <c r="R216" s="22"/>
      <c r="S216" s="20"/>
      <c r="T216" s="20"/>
      <c r="U216" s="20"/>
      <c r="V216" s="22"/>
      <c r="W216" s="20"/>
      <c r="X216" s="22"/>
      <c r="Y216" s="22"/>
      <c r="Z216" s="22"/>
      <c r="AA216" s="22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19"/>
      <c r="BJ216" s="20"/>
      <c r="BK216" s="20"/>
      <c r="BL216" s="28"/>
      <c r="BM216" s="28"/>
      <c r="BN216" s="29"/>
      <c r="BO216" s="29"/>
      <c r="BP216" s="29"/>
      <c r="BQ216" s="29"/>
      <c r="BR216" s="29"/>
      <c r="BS216" s="29"/>
    </row>
    <row r="217" spans="1:71" ht="13.2">
      <c r="A217" s="19"/>
      <c r="B217" s="20"/>
      <c r="C217" s="20"/>
      <c r="D217" s="21"/>
      <c r="E217" s="20"/>
      <c r="F217" s="20"/>
      <c r="G217" s="22"/>
      <c r="H217" s="22"/>
      <c r="I217" s="20"/>
      <c r="J217" s="20"/>
      <c r="K217" s="20"/>
      <c r="L217" s="22"/>
      <c r="M217" s="22"/>
      <c r="N217" s="22"/>
      <c r="O217" s="22"/>
      <c r="P217" s="22"/>
      <c r="Q217" s="22"/>
      <c r="R217" s="22"/>
      <c r="S217" s="20"/>
      <c r="T217" s="20"/>
      <c r="U217" s="20"/>
      <c r="V217" s="22"/>
      <c r="W217" s="20"/>
      <c r="X217" s="22"/>
      <c r="Y217" s="22"/>
      <c r="Z217" s="22"/>
      <c r="AA217" s="22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19"/>
      <c r="BJ217" s="20"/>
      <c r="BK217" s="20"/>
      <c r="BL217" s="28"/>
      <c r="BM217" s="28"/>
      <c r="BN217" s="29"/>
      <c r="BO217" s="29"/>
      <c r="BP217" s="29"/>
      <c r="BQ217" s="29"/>
      <c r="BR217" s="29"/>
      <c r="BS217" s="29"/>
    </row>
    <row r="218" spans="1:71" ht="13.2">
      <c r="A218" s="19"/>
      <c r="B218" s="20"/>
      <c r="C218" s="20"/>
      <c r="D218" s="21"/>
      <c r="E218" s="20"/>
      <c r="F218" s="20"/>
      <c r="G218" s="22"/>
      <c r="H218" s="22"/>
      <c r="I218" s="20"/>
      <c r="J218" s="20"/>
      <c r="K218" s="20"/>
      <c r="L218" s="22"/>
      <c r="M218" s="22"/>
      <c r="N218" s="22"/>
      <c r="O218" s="22"/>
      <c r="P218" s="22"/>
      <c r="Q218" s="22"/>
      <c r="R218" s="22"/>
      <c r="S218" s="20"/>
      <c r="T218" s="20"/>
      <c r="U218" s="20"/>
      <c r="V218" s="22"/>
      <c r="W218" s="20"/>
      <c r="X218" s="22"/>
      <c r="Y218" s="22"/>
      <c r="Z218" s="22"/>
      <c r="AA218" s="22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19"/>
      <c r="BJ218" s="20"/>
      <c r="BK218" s="20"/>
      <c r="BL218" s="28"/>
      <c r="BM218" s="28"/>
      <c r="BN218" s="29"/>
      <c r="BO218" s="29"/>
      <c r="BP218" s="29"/>
      <c r="BQ218" s="29"/>
      <c r="BR218" s="29"/>
      <c r="BS218" s="29"/>
    </row>
    <row r="219" spans="1:71" ht="13.2">
      <c r="A219" s="19"/>
      <c r="B219" s="20"/>
      <c r="C219" s="20"/>
      <c r="D219" s="21"/>
      <c r="E219" s="20"/>
      <c r="F219" s="20"/>
      <c r="G219" s="22"/>
      <c r="H219" s="22"/>
      <c r="I219" s="20"/>
      <c r="J219" s="20"/>
      <c r="K219" s="20"/>
      <c r="L219" s="22"/>
      <c r="M219" s="22"/>
      <c r="N219" s="22"/>
      <c r="O219" s="22"/>
      <c r="P219" s="22"/>
      <c r="Q219" s="22"/>
      <c r="R219" s="22"/>
      <c r="S219" s="20"/>
      <c r="T219" s="20"/>
      <c r="U219" s="20"/>
      <c r="V219" s="22"/>
      <c r="W219" s="20"/>
      <c r="X219" s="22"/>
      <c r="Y219" s="22"/>
      <c r="Z219" s="22"/>
      <c r="AA219" s="22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19"/>
      <c r="BJ219" s="20"/>
      <c r="BK219" s="20"/>
      <c r="BL219" s="28"/>
      <c r="BM219" s="28"/>
      <c r="BN219" s="29"/>
      <c r="BO219" s="29"/>
      <c r="BP219" s="29"/>
      <c r="BQ219" s="29"/>
      <c r="BR219" s="29"/>
      <c r="BS219" s="29"/>
    </row>
    <row r="220" spans="1:71" ht="13.2">
      <c r="A220" s="19"/>
      <c r="B220" s="20"/>
      <c r="C220" s="20"/>
      <c r="D220" s="21"/>
      <c r="E220" s="20"/>
      <c r="F220" s="20"/>
      <c r="G220" s="22"/>
      <c r="H220" s="22"/>
      <c r="I220" s="20"/>
      <c r="J220" s="20"/>
      <c r="K220" s="20"/>
      <c r="L220" s="22"/>
      <c r="M220" s="22"/>
      <c r="N220" s="22"/>
      <c r="O220" s="22"/>
      <c r="P220" s="22"/>
      <c r="Q220" s="22"/>
      <c r="R220" s="22"/>
      <c r="S220" s="20"/>
      <c r="T220" s="20"/>
      <c r="U220" s="20"/>
      <c r="V220" s="22"/>
      <c r="W220" s="20"/>
      <c r="X220" s="22"/>
      <c r="Y220" s="22"/>
      <c r="Z220" s="22"/>
      <c r="AA220" s="22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19"/>
      <c r="BJ220" s="20"/>
      <c r="BK220" s="20"/>
      <c r="BL220" s="28"/>
      <c r="BM220" s="28"/>
      <c r="BN220" s="29"/>
      <c r="BO220" s="29"/>
      <c r="BP220" s="29"/>
      <c r="BQ220" s="29"/>
      <c r="BR220" s="29"/>
      <c r="BS220" s="29"/>
    </row>
    <row r="221" spans="1:71" ht="13.2">
      <c r="A221" s="19"/>
      <c r="B221" s="20"/>
      <c r="C221" s="20"/>
      <c r="D221" s="21"/>
      <c r="E221" s="20"/>
      <c r="F221" s="20"/>
      <c r="G221" s="22"/>
      <c r="H221" s="22"/>
      <c r="I221" s="20"/>
      <c r="J221" s="20"/>
      <c r="K221" s="20"/>
      <c r="L221" s="22"/>
      <c r="M221" s="22"/>
      <c r="N221" s="22"/>
      <c r="O221" s="22"/>
      <c r="P221" s="22"/>
      <c r="Q221" s="22"/>
      <c r="R221" s="22"/>
      <c r="S221" s="20"/>
      <c r="T221" s="20"/>
      <c r="U221" s="20"/>
      <c r="V221" s="22"/>
      <c r="W221" s="20"/>
      <c r="X221" s="22"/>
      <c r="Y221" s="22"/>
      <c r="Z221" s="22"/>
      <c r="AA221" s="22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19"/>
      <c r="BJ221" s="20"/>
      <c r="BK221" s="20"/>
      <c r="BL221" s="28"/>
      <c r="BM221" s="28"/>
      <c r="BN221" s="29"/>
      <c r="BO221" s="29"/>
      <c r="BP221" s="29"/>
      <c r="BQ221" s="29"/>
      <c r="BR221" s="29"/>
      <c r="BS221" s="29"/>
    </row>
    <row r="222" spans="1:71" ht="13.2">
      <c r="A222" s="19"/>
      <c r="B222" s="20"/>
      <c r="C222" s="20"/>
      <c r="D222" s="21"/>
      <c r="E222" s="20"/>
      <c r="F222" s="20"/>
      <c r="G222" s="22"/>
      <c r="H222" s="22"/>
      <c r="I222" s="20"/>
      <c r="J222" s="20"/>
      <c r="K222" s="20"/>
      <c r="L222" s="22"/>
      <c r="M222" s="22"/>
      <c r="N222" s="22"/>
      <c r="O222" s="22"/>
      <c r="P222" s="22"/>
      <c r="Q222" s="22"/>
      <c r="R222" s="22"/>
      <c r="S222" s="20"/>
      <c r="T222" s="20"/>
      <c r="U222" s="20"/>
      <c r="V222" s="22"/>
      <c r="W222" s="20"/>
      <c r="X222" s="22"/>
      <c r="Y222" s="22"/>
      <c r="Z222" s="22"/>
      <c r="AA222" s="22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19"/>
      <c r="BJ222" s="20"/>
      <c r="BK222" s="20"/>
      <c r="BL222" s="28"/>
      <c r="BM222" s="28"/>
      <c r="BN222" s="29"/>
      <c r="BO222" s="29"/>
      <c r="BP222" s="29"/>
      <c r="BQ222" s="29"/>
      <c r="BR222" s="29"/>
      <c r="BS222" s="29"/>
    </row>
    <row r="223" spans="1:71" ht="13.2">
      <c r="A223" s="19"/>
      <c r="B223" s="20"/>
      <c r="C223" s="20"/>
      <c r="D223" s="21"/>
      <c r="E223" s="20"/>
      <c r="F223" s="20"/>
      <c r="G223" s="22"/>
      <c r="H223" s="22"/>
      <c r="I223" s="20"/>
      <c r="J223" s="20"/>
      <c r="K223" s="20"/>
      <c r="L223" s="22"/>
      <c r="M223" s="22"/>
      <c r="N223" s="22"/>
      <c r="O223" s="22"/>
      <c r="P223" s="22"/>
      <c r="Q223" s="22"/>
      <c r="R223" s="22"/>
      <c r="S223" s="20"/>
      <c r="T223" s="20"/>
      <c r="U223" s="20"/>
      <c r="V223" s="22"/>
      <c r="W223" s="20"/>
      <c r="X223" s="22"/>
      <c r="Y223" s="22"/>
      <c r="Z223" s="22"/>
      <c r="AA223" s="22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19"/>
      <c r="BJ223" s="20"/>
      <c r="BK223" s="20"/>
      <c r="BL223" s="28"/>
      <c r="BM223" s="28"/>
      <c r="BN223" s="29"/>
      <c r="BO223" s="29"/>
      <c r="BP223" s="29"/>
      <c r="BQ223" s="29"/>
      <c r="BR223" s="29"/>
      <c r="BS223" s="29"/>
    </row>
    <row r="224" spans="1:71" ht="13.2">
      <c r="A224" s="19"/>
      <c r="B224" s="20"/>
      <c r="C224" s="20"/>
      <c r="D224" s="21"/>
      <c r="E224" s="20"/>
      <c r="F224" s="20"/>
      <c r="G224" s="22"/>
      <c r="H224" s="22"/>
      <c r="I224" s="20"/>
      <c r="J224" s="20"/>
      <c r="K224" s="20"/>
      <c r="L224" s="22"/>
      <c r="M224" s="22"/>
      <c r="N224" s="22"/>
      <c r="O224" s="22"/>
      <c r="P224" s="22"/>
      <c r="Q224" s="22"/>
      <c r="R224" s="22"/>
      <c r="S224" s="20"/>
      <c r="T224" s="20"/>
      <c r="U224" s="20"/>
      <c r="V224" s="22"/>
      <c r="W224" s="20"/>
      <c r="X224" s="22"/>
      <c r="Y224" s="22"/>
      <c r="Z224" s="22"/>
      <c r="AA224" s="22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19"/>
      <c r="BJ224" s="20"/>
      <c r="BK224" s="20"/>
      <c r="BL224" s="28"/>
      <c r="BM224" s="28"/>
      <c r="BN224" s="29"/>
      <c r="BO224" s="29"/>
      <c r="BP224" s="29"/>
      <c r="BQ224" s="29"/>
      <c r="BR224" s="29"/>
      <c r="BS224" s="29"/>
    </row>
    <row r="225" spans="1:71" ht="13.2">
      <c r="A225" s="19"/>
      <c r="B225" s="20"/>
      <c r="C225" s="20"/>
      <c r="D225" s="21"/>
      <c r="E225" s="20"/>
      <c r="F225" s="20"/>
      <c r="G225" s="22"/>
      <c r="H225" s="22"/>
      <c r="I225" s="20"/>
      <c r="J225" s="20"/>
      <c r="K225" s="20"/>
      <c r="L225" s="22"/>
      <c r="M225" s="22"/>
      <c r="N225" s="22"/>
      <c r="O225" s="22"/>
      <c r="P225" s="22"/>
      <c r="Q225" s="22"/>
      <c r="R225" s="22"/>
      <c r="S225" s="20"/>
      <c r="T225" s="20"/>
      <c r="U225" s="20"/>
      <c r="V225" s="22"/>
      <c r="W225" s="20"/>
      <c r="X225" s="22"/>
      <c r="Y225" s="22"/>
      <c r="Z225" s="22"/>
      <c r="AA225" s="22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19"/>
      <c r="BJ225" s="20"/>
      <c r="BK225" s="20"/>
      <c r="BL225" s="28"/>
      <c r="BM225" s="28"/>
      <c r="BN225" s="29"/>
      <c r="BO225" s="29"/>
      <c r="BP225" s="29"/>
      <c r="BQ225" s="29"/>
      <c r="BR225" s="29"/>
      <c r="BS225" s="29"/>
    </row>
    <row r="226" spans="1:71" ht="13.2">
      <c r="A226" s="19"/>
      <c r="B226" s="20"/>
      <c r="C226" s="20"/>
      <c r="D226" s="21"/>
      <c r="E226" s="20"/>
      <c r="F226" s="20"/>
      <c r="G226" s="22"/>
      <c r="H226" s="22"/>
      <c r="I226" s="20"/>
      <c r="J226" s="20"/>
      <c r="K226" s="20"/>
      <c r="L226" s="22"/>
      <c r="M226" s="22"/>
      <c r="N226" s="22"/>
      <c r="O226" s="22"/>
      <c r="P226" s="22"/>
      <c r="Q226" s="22"/>
      <c r="R226" s="22"/>
      <c r="S226" s="20"/>
      <c r="T226" s="20"/>
      <c r="U226" s="20"/>
      <c r="V226" s="22"/>
      <c r="W226" s="20"/>
      <c r="X226" s="22"/>
      <c r="Y226" s="22"/>
      <c r="Z226" s="22"/>
      <c r="AA226" s="22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19"/>
      <c r="BJ226" s="20"/>
      <c r="BK226" s="20"/>
      <c r="BL226" s="28"/>
      <c r="BM226" s="28"/>
      <c r="BN226" s="29"/>
      <c r="BO226" s="29"/>
      <c r="BP226" s="29"/>
      <c r="BQ226" s="29"/>
      <c r="BR226" s="29"/>
      <c r="BS226" s="29"/>
    </row>
    <row r="227" spans="1:71" ht="13.2">
      <c r="A227" s="19"/>
      <c r="B227" s="20"/>
      <c r="C227" s="20"/>
      <c r="D227" s="21"/>
      <c r="E227" s="20"/>
      <c r="F227" s="20"/>
      <c r="G227" s="22"/>
      <c r="H227" s="22"/>
      <c r="I227" s="20"/>
      <c r="J227" s="20"/>
      <c r="K227" s="20"/>
      <c r="L227" s="22"/>
      <c r="M227" s="22"/>
      <c r="N227" s="22"/>
      <c r="O227" s="22"/>
      <c r="P227" s="22"/>
      <c r="Q227" s="22"/>
      <c r="R227" s="22"/>
      <c r="S227" s="20"/>
      <c r="T227" s="20"/>
      <c r="U227" s="20"/>
      <c r="V227" s="22"/>
      <c r="W227" s="20"/>
      <c r="X227" s="22"/>
      <c r="Y227" s="22"/>
      <c r="Z227" s="22"/>
      <c r="AA227" s="22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19"/>
      <c r="BJ227" s="20"/>
      <c r="BK227" s="20"/>
      <c r="BL227" s="28"/>
      <c r="BM227" s="28"/>
      <c r="BN227" s="29"/>
      <c r="BO227" s="29"/>
      <c r="BP227" s="29"/>
      <c r="BQ227" s="29"/>
      <c r="BR227" s="29"/>
      <c r="BS227" s="29"/>
    </row>
    <row r="228" spans="1:71" ht="13.2">
      <c r="A228" s="19"/>
      <c r="B228" s="20"/>
      <c r="C228" s="20"/>
      <c r="D228" s="21"/>
      <c r="E228" s="20"/>
      <c r="F228" s="20"/>
      <c r="G228" s="22"/>
      <c r="H228" s="22"/>
      <c r="I228" s="20"/>
      <c r="J228" s="20"/>
      <c r="K228" s="20"/>
      <c r="L228" s="22"/>
      <c r="M228" s="22"/>
      <c r="N228" s="22"/>
      <c r="O228" s="22"/>
      <c r="P228" s="22"/>
      <c r="Q228" s="22"/>
      <c r="R228" s="22"/>
      <c r="S228" s="20"/>
      <c r="T228" s="20"/>
      <c r="U228" s="20"/>
      <c r="V228" s="22"/>
      <c r="W228" s="20"/>
      <c r="X228" s="22"/>
      <c r="Y228" s="22"/>
      <c r="Z228" s="22"/>
      <c r="AA228" s="22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19"/>
      <c r="BJ228" s="20"/>
      <c r="BK228" s="20"/>
      <c r="BL228" s="28"/>
      <c r="BM228" s="28"/>
      <c r="BN228" s="29"/>
      <c r="BO228" s="29"/>
      <c r="BP228" s="29"/>
      <c r="BQ228" s="29"/>
      <c r="BR228" s="29"/>
      <c r="BS228" s="29"/>
    </row>
    <row r="229" spans="1:71" ht="13.2">
      <c r="A229" s="19"/>
      <c r="B229" s="20"/>
      <c r="C229" s="20"/>
      <c r="D229" s="21"/>
      <c r="E229" s="20"/>
      <c r="F229" s="20"/>
      <c r="G229" s="22"/>
      <c r="H229" s="22"/>
      <c r="I229" s="20"/>
      <c r="J229" s="20"/>
      <c r="K229" s="20"/>
      <c r="L229" s="22"/>
      <c r="M229" s="22"/>
      <c r="N229" s="22"/>
      <c r="O229" s="22"/>
      <c r="P229" s="22"/>
      <c r="Q229" s="22"/>
      <c r="R229" s="22"/>
      <c r="S229" s="20"/>
      <c r="T229" s="20"/>
      <c r="U229" s="20"/>
      <c r="V229" s="22"/>
      <c r="W229" s="20"/>
      <c r="X229" s="22"/>
      <c r="Y229" s="22"/>
      <c r="Z229" s="22"/>
      <c r="AA229" s="22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19"/>
      <c r="BJ229" s="20"/>
      <c r="BK229" s="20"/>
      <c r="BL229" s="28"/>
      <c r="BM229" s="28"/>
      <c r="BN229" s="29"/>
      <c r="BO229" s="29"/>
      <c r="BP229" s="29"/>
      <c r="BQ229" s="29"/>
      <c r="BR229" s="29"/>
      <c r="BS229" s="29"/>
    </row>
    <row r="230" spans="1:71" ht="13.2">
      <c r="A230" s="19"/>
      <c r="B230" s="20"/>
      <c r="C230" s="20"/>
      <c r="D230" s="21"/>
      <c r="E230" s="20"/>
      <c r="F230" s="20"/>
      <c r="G230" s="22"/>
      <c r="H230" s="22"/>
      <c r="I230" s="20"/>
      <c r="J230" s="20"/>
      <c r="K230" s="20"/>
      <c r="L230" s="22"/>
      <c r="M230" s="22"/>
      <c r="N230" s="22"/>
      <c r="O230" s="22"/>
      <c r="P230" s="22"/>
      <c r="Q230" s="22"/>
      <c r="R230" s="22"/>
      <c r="S230" s="20"/>
      <c r="T230" s="20"/>
      <c r="U230" s="20"/>
      <c r="V230" s="22"/>
      <c r="W230" s="20"/>
      <c r="X230" s="22"/>
      <c r="Y230" s="22"/>
      <c r="Z230" s="22"/>
      <c r="AA230" s="22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19"/>
      <c r="BJ230" s="20"/>
      <c r="BK230" s="20"/>
      <c r="BL230" s="28"/>
      <c r="BM230" s="28"/>
      <c r="BN230" s="29"/>
      <c r="BO230" s="29"/>
      <c r="BP230" s="29"/>
      <c r="BQ230" s="29"/>
      <c r="BR230" s="29"/>
      <c r="BS230" s="29"/>
    </row>
    <row r="231" spans="1:71" ht="13.2">
      <c r="A231" s="19"/>
      <c r="B231" s="20"/>
      <c r="C231" s="20"/>
      <c r="D231" s="21"/>
      <c r="E231" s="20"/>
      <c r="F231" s="20"/>
      <c r="G231" s="22"/>
      <c r="H231" s="22"/>
      <c r="I231" s="20"/>
      <c r="J231" s="20"/>
      <c r="K231" s="20"/>
      <c r="L231" s="22"/>
      <c r="M231" s="22"/>
      <c r="N231" s="22"/>
      <c r="O231" s="22"/>
      <c r="P231" s="22"/>
      <c r="Q231" s="22"/>
      <c r="R231" s="22"/>
      <c r="S231" s="20"/>
      <c r="T231" s="20"/>
      <c r="U231" s="20"/>
      <c r="V231" s="22"/>
      <c r="W231" s="20"/>
      <c r="X231" s="22"/>
      <c r="Y231" s="22"/>
      <c r="Z231" s="22"/>
      <c r="AA231" s="22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19"/>
      <c r="BJ231" s="20"/>
      <c r="BK231" s="20"/>
      <c r="BL231" s="28"/>
      <c r="BM231" s="28"/>
      <c r="BN231" s="29"/>
      <c r="BO231" s="29"/>
      <c r="BP231" s="29"/>
      <c r="BQ231" s="29"/>
      <c r="BR231" s="29"/>
      <c r="BS231" s="29"/>
    </row>
    <row r="232" spans="1:71" ht="13.2">
      <c r="A232" s="19"/>
      <c r="B232" s="20"/>
      <c r="C232" s="20"/>
      <c r="D232" s="21"/>
      <c r="E232" s="20"/>
      <c r="F232" s="20"/>
      <c r="G232" s="22"/>
      <c r="H232" s="22"/>
      <c r="I232" s="20"/>
      <c r="J232" s="20"/>
      <c r="K232" s="20"/>
      <c r="L232" s="22"/>
      <c r="M232" s="22"/>
      <c r="N232" s="22"/>
      <c r="O232" s="22"/>
      <c r="P232" s="22"/>
      <c r="Q232" s="22"/>
      <c r="R232" s="22"/>
      <c r="S232" s="20"/>
      <c r="T232" s="20"/>
      <c r="U232" s="20"/>
      <c r="V232" s="22"/>
      <c r="W232" s="20"/>
      <c r="X232" s="22"/>
      <c r="Y232" s="22"/>
      <c r="Z232" s="22"/>
      <c r="AA232" s="22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19"/>
      <c r="BJ232" s="20"/>
      <c r="BK232" s="20"/>
      <c r="BL232" s="28"/>
      <c r="BM232" s="28"/>
      <c r="BN232" s="29"/>
      <c r="BO232" s="29"/>
      <c r="BP232" s="29"/>
      <c r="BQ232" s="29"/>
      <c r="BR232" s="29"/>
      <c r="BS232" s="29"/>
    </row>
    <row r="233" spans="1:71" ht="13.2">
      <c r="A233" s="19"/>
      <c r="B233" s="20"/>
      <c r="C233" s="20"/>
      <c r="D233" s="21"/>
      <c r="E233" s="20"/>
      <c r="F233" s="20"/>
      <c r="G233" s="22"/>
      <c r="H233" s="22"/>
      <c r="I233" s="20"/>
      <c r="J233" s="20"/>
      <c r="K233" s="20"/>
      <c r="L233" s="22"/>
      <c r="M233" s="22"/>
      <c r="N233" s="22"/>
      <c r="O233" s="22"/>
      <c r="P233" s="22"/>
      <c r="Q233" s="22"/>
      <c r="R233" s="22"/>
      <c r="S233" s="20"/>
      <c r="T233" s="20"/>
      <c r="U233" s="20"/>
      <c r="V233" s="22"/>
      <c r="W233" s="20"/>
      <c r="X233" s="22"/>
      <c r="Y233" s="22"/>
      <c r="Z233" s="22"/>
      <c r="AA233" s="22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19"/>
      <c r="BJ233" s="20"/>
      <c r="BK233" s="20"/>
      <c r="BL233" s="28"/>
      <c r="BM233" s="28"/>
      <c r="BN233" s="29"/>
      <c r="BO233" s="29"/>
      <c r="BP233" s="29"/>
      <c r="BQ233" s="29"/>
      <c r="BR233" s="29"/>
      <c r="BS233" s="29"/>
    </row>
    <row r="234" spans="1:71" ht="13.2">
      <c r="A234" s="19"/>
      <c r="B234" s="20"/>
      <c r="C234" s="20"/>
      <c r="D234" s="21"/>
      <c r="E234" s="20"/>
      <c r="F234" s="20"/>
      <c r="G234" s="22"/>
      <c r="H234" s="22"/>
      <c r="I234" s="20"/>
      <c r="J234" s="20"/>
      <c r="K234" s="20"/>
      <c r="L234" s="22"/>
      <c r="M234" s="22"/>
      <c r="N234" s="22"/>
      <c r="O234" s="22"/>
      <c r="P234" s="22"/>
      <c r="Q234" s="22"/>
      <c r="R234" s="22"/>
      <c r="S234" s="20"/>
      <c r="T234" s="20"/>
      <c r="U234" s="20"/>
      <c r="V234" s="22"/>
      <c r="W234" s="20"/>
      <c r="X234" s="22"/>
      <c r="Y234" s="22"/>
      <c r="Z234" s="22"/>
      <c r="AA234" s="22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19"/>
      <c r="BJ234" s="20"/>
      <c r="BK234" s="20"/>
      <c r="BL234" s="28"/>
      <c r="BM234" s="28"/>
      <c r="BN234" s="29"/>
      <c r="BO234" s="29"/>
      <c r="BP234" s="29"/>
      <c r="BQ234" s="29"/>
      <c r="BR234" s="29"/>
      <c r="BS234" s="29"/>
    </row>
    <row r="235" spans="1:71" ht="13.2">
      <c r="A235" s="19"/>
      <c r="B235" s="20"/>
      <c r="C235" s="20"/>
      <c r="D235" s="21"/>
      <c r="E235" s="20"/>
      <c r="F235" s="20"/>
      <c r="G235" s="22"/>
      <c r="H235" s="22"/>
      <c r="I235" s="20"/>
      <c r="J235" s="20"/>
      <c r="K235" s="20"/>
      <c r="L235" s="22"/>
      <c r="M235" s="22"/>
      <c r="N235" s="22"/>
      <c r="O235" s="22"/>
      <c r="P235" s="22"/>
      <c r="Q235" s="22"/>
      <c r="R235" s="22"/>
      <c r="S235" s="20"/>
      <c r="T235" s="20"/>
      <c r="U235" s="20"/>
      <c r="V235" s="22"/>
      <c r="W235" s="20"/>
      <c r="X235" s="22"/>
      <c r="Y235" s="22"/>
      <c r="Z235" s="22"/>
      <c r="AA235" s="22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19"/>
      <c r="BJ235" s="20"/>
      <c r="BK235" s="20"/>
      <c r="BL235" s="28"/>
      <c r="BM235" s="28"/>
      <c r="BN235" s="29"/>
      <c r="BO235" s="29"/>
      <c r="BP235" s="29"/>
      <c r="BQ235" s="29"/>
      <c r="BR235" s="29"/>
      <c r="BS235" s="29"/>
    </row>
    <row r="236" spans="1:71" ht="13.2">
      <c r="A236" s="19"/>
      <c r="B236" s="20"/>
      <c r="C236" s="20"/>
      <c r="D236" s="21"/>
      <c r="E236" s="20"/>
      <c r="F236" s="20"/>
      <c r="G236" s="22"/>
      <c r="H236" s="22"/>
      <c r="I236" s="20"/>
      <c r="J236" s="20"/>
      <c r="K236" s="20"/>
      <c r="L236" s="22"/>
      <c r="M236" s="22"/>
      <c r="N236" s="22"/>
      <c r="O236" s="22"/>
      <c r="P236" s="22"/>
      <c r="Q236" s="22"/>
      <c r="R236" s="22"/>
      <c r="S236" s="20"/>
      <c r="T236" s="20"/>
      <c r="U236" s="20"/>
      <c r="V236" s="22"/>
      <c r="W236" s="20"/>
      <c r="X236" s="22"/>
      <c r="Y236" s="22"/>
      <c r="Z236" s="22"/>
      <c r="AA236" s="22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19"/>
      <c r="BJ236" s="20"/>
      <c r="BK236" s="20"/>
      <c r="BL236" s="28"/>
      <c r="BM236" s="28"/>
      <c r="BN236" s="29"/>
      <c r="BO236" s="29"/>
      <c r="BP236" s="29"/>
      <c r="BQ236" s="29"/>
      <c r="BR236" s="29"/>
      <c r="BS236" s="29"/>
    </row>
    <row r="237" spans="1:71" ht="13.2">
      <c r="A237" s="19"/>
      <c r="B237" s="20"/>
      <c r="C237" s="20"/>
      <c r="D237" s="21"/>
      <c r="E237" s="20"/>
      <c r="F237" s="20"/>
      <c r="G237" s="22"/>
      <c r="H237" s="22"/>
      <c r="I237" s="20"/>
      <c r="J237" s="20"/>
      <c r="K237" s="20"/>
      <c r="L237" s="22"/>
      <c r="M237" s="22"/>
      <c r="N237" s="22"/>
      <c r="O237" s="22"/>
      <c r="P237" s="22"/>
      <c r="Q237" s="22"/>
      <c r="R237" s="22"/>
      <c r="S237" s="20"/>
      <c r="T237" s="20"/>
      <c r="U237" s="20"/>
      <c r="V237" s="22"/>
      <c r="W237" s="20"/>
      <c r="X237" s="22"/>
      <c r="Y237" s="22"/>
      <c r="Z237" s="22"/>
      <c r="AA237" s="22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19"/>
      <c r="BJ237" s="20"/>
      <c r="BK237" s="20"/>
      <c r="BL237" s="28"/>
      <c r="BM237" s="28"/>
      <c r="BN237" s="29"/>
      <c r="BO237" s="29"/>
      <c r="BP237" s="29"/>
      <c r="BQ237" s="29"/>
      <c r="BR237" s="29"/>
      <c r="BS237" s="29"/>
    </row>
    <row r="238" spans="1:71" ht="13.2">
      <c r="A238" s="19"/>
      <c r="B238" s="20"/>
      <c r="C238" s="20"/>
      <c r="D238" s="21"/>
      <c r="E238" s="20"/>
      <c r="F238" s="20"/>
      <c r="G238" s="22"/>
      <c r="H238" s="22"/>
      <c r="I238" s="20"/>
      <c r="J238" s="20"/>
      <c r="K238" s="20"/>
      <c r="L238" s="22"/>
      <c r="M238" s="22"/>
      <c r="N238" s="22"/>
      <c r="O238" s="22"/>
      <c r="P238" s="22"/>
      <c r="Q238" s="22"/>
      <c r="R238" s="22"/>
      <c r="S238" s="20"/>
      <c r="T238" s="20"/>
      <c r="U238" s="20"/>
      <c r="V238" s="22"/>
      <c r="W238" s="20"/>
      <c r="X238" s="22"/>
      <c r="Y238" s="22"/>
      <c r="Z238" s="22"/>
      <c r="AA238" s="22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19"/>
      <c r="BJ238" s="20"/>
      <c r="BK238" s="20"/>
      <c r="BL238" s="28"/>
      <c r="BM238" s="28"/>
      <c r="BN238" s="29"/>
      <c r="BO238" s="29"/>
      <c r="BP238" s="29"/>
      <c r="BQ238" s="29"/>
      <c r="BR238" s="29"/>
      <c r="BS238" s="29"/>
    </row>
    <row r="239" spans="1:71" ht="13.2">
      <c r="A239" s="19"/>
      <c r="B239" s="20"/>
      <c r="C239" s="20"/>
      <c r="D239" s="21"/>
      <c r="E239" s="20"/>
      <c r="F239" s="20"/>
      <c r="G239" s="22"/>
      <c r="H239" s="22"/>
      <c r="I239" s="20"/>
      <c r="J239" s="20"/>
      <c r="K239" s="20"/>
      <c r="L239" s="22"/>
      <c r="M239" s="22"/>
      <c r="N239" s="22"/>
      <c r="O239" s="22"/>
      <c r="P239" s="22"/>
      <c r="Q239" s="22"/>
      <c r="R239" s="22"/>
      <c r="S239" s="20"/>
      <c r="T239" s="20"/>
      <c r="U239" s="20"/>
      <c r="V239" s="22"/>
      <c r="W239" s="20"/>
      <c r="X239" s="22"/>
      <c r="Y239" s="22"/>
      <c r="Z239" s="22"/>
      <c r="AA239" s="22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19"/>
      <c r="BJ239" s="20"/>
      <c r="BK239" s="20"/>
      <c r="BL239" s="28"/>
      <c r="BM239" s="28"/>
      <c r="BN239" s="29"/>
      <c r="BO239" s="29"/>
      <c r="BP239" s="29"/>
      <c r="BQ239" s="29"/>
      <c r="BR239" s="29"/>
      <c r="BS239" s="29"/>
    </row>
    <row r="240" spans="1:71" ht="13.2">
      <c r="A240" s="19"/>
      <c r="B240" s="20"/>
      <c r="C240" s="20"/>
      <c r="D240" s="21"/>
      <c r="E240" s="20"/>
      <c r="F240" s="20"/>
      <c r="G240" s="22"/>
      <c r="H240" s="22"/>
      <c r="I240" s="20"/>
      <c r="J240" s="20"/>
      <c r="K240" s="20"/>
      <c r="L240" s="22"/>
      <c r="M240" s="22"/>
      <c r="N240" s="22"/>
      <c r="O240" s="22"/>
      <c r="P240" s="22"/>
      <c r="Q240" s="22"/>
      <c r="R240" s="22"/>
      <c r="S240" s="20"/>
      <c r="T240" s="20"/>
      <c r="U240" s="20"/>
      <c r="V240" s="22"/>
      <c r="W240" s="20"/>
      <c r="X240" s="22"/>
      <c r="Y240" s="22"/>
      <c r="Z240" s="22"/>
      <c r="AA240" s="22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19"/>
      <c r="BJ240" s="20"/>
      <c r="BK240" s="20"/>
      <c r="BL240" s="28"/>
      <c r="BM240" s="28"/>
      <c r="BN240" s="29"/>
      <c r="BO240" s="29"/>
      <c r="BP240" s="29"/>
      <c r="BQ240" s="29"/>
      <c r="BR240" s="29"/>
      <c r="BS240" s="29"/>
    </row>
    <row r="241" spans="1:71" ht="13.2">
      <c r="A241" s="19"/>
      <c r="B241" s="20"/>
      <c r="C241" s="20"/>
      <c r="D241" s="21"/>
      <c r="E241" s="20"/>
      <c r="F241" s="20"/>
      <c r="G241" s="22"/>
      <c r="H241" s="22"/>
      <c r="I241" s="20"/>
      <c r="J241" s="20"/>
      <c r="K241" s="20"/>
      <c r="L241" s="22"/>
      <c r="M241" s="22"/>
      <c r="N241" s="22"/>
      <c r="O241" s="22"/>
      <c r="P241" s="22"/>
      <c r="Q241" s="22"/>
      <c r="R241" s="22"/>
      <c r="S241" s="20"/>
      <c r="T241" s="20"/>
      <c r="U241" s="20"/>
      <c r="V241" s="22"/>
      <c r="W241" s="20"/>
      <c r="X241" s="22"/>
      <c r="Y241" s="22"/>
      <c r="Z241" s="22"/>
      <c r="AA241" s="22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19"/>
      <c r="BJ241" s="20"/>
      <c r="BK241" s="20"/>
      <c r="BL241" s="28"/>
      <c r="BM241" s="28"/>
      <c r="BN241" s="29"/>
      <c r="BO241" s="29"/>
      <c r="BP241" s="29"/>
      <c r="BQ241" s="29"/>
      <c r="BR241" s="29"/>
      <c r="BS241" s="29"/>
    </row>
    <row r="242" spans="1:71" ht="13.2">
      <c r="A242" s="19"/>
      <c r="B242" s="20"/>
      <c r="C242" s="20"/>
      <c r="D242" s="21"/>
      <c r="E242" s="20"/>
      <c r="F242" s="20"/>
      <c r="G242" s="22"/>
      <c r="H242" s="22"/>
      <c r="I242" s="20"/>
      <c r="J242" s="20"/>
      <c r="K242" s="20"/>
      <c r="L242" s="22"/>
      <c r="M242" s="22"/>
      <c r="N242" s="22"/>
      <c r="O242" s="22"/>
      <c r="P242" s="22"/>
      <c r="Q242" s="22"/>
      <c r="R242" s="22"/>
      <c r="S242" s="20"/>
      <c r="T242" s="20"/>
      <c r="U242" s="20"/>
      <c r="V242" s="22"/>
      <c r="W242" s="20"/>
      <c r="X242" s="22"/>
      <c r="Y242" s="22"/>
      <c r="Z242" s="22"/>
      <c r="AA242" s="22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19"/>
      <c r="BJ242" s="20"/>
      <c r="BK242" s="20"/>
      <c r="BL242" s="28"/>
      <c r="BM242" s="28"/>
      <c r="BN242" s="29"/>
      <c r="BO242" s="29"/>
      <c r="BP242" s="29"/>
      <c r="BQ242" s="29"/>
      <c r="BR242" s="29"/>
      <c r="BS242" s="29"/>
    </row>
    <row r="243" spans="1:71" ht="13.2">
      <c r="A243" s="19"/>
      <c r="B243" s="20"/>
      <c r="C243" s="20"/>
      <c r="D243" s="21"/>
      <c r="E243" s="20"/>
      <c r="F243" s="20"/>
      <c r="G243" s="22"/>
      <c r="H243" s="22"/>
      <c r="I243" s="20"/>
      <c r="J243" s="20"/>
      <c r="K243" s="20"/>
      <c r="L243" s="22"/>
      <c r="M243" s="22"/>
      <c r="N243" s="22"/>
      <c r="O243" s="22"/>
      <c r="P243" s="22"/>
      <c r="Q243" s="22"/>
      <c r="R243" s="22"/>
      <c r="S243" s="20"/>
      <c r="T243" s="20"/>
      <c r="U243" s="20"/>
      <c r="V243" s="22"/>
      <c r="W243" s="20"/>
      <c r="X243" s="22"/>
      <c r="Y243" s="22"/>
      <c r="Z243" s="22"/>
      <c r="AA243" s="22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19"/>
      <c r="BJ243" s="20"/>
      <c r="BK243" s="20"/>
      <c r="BL243" s="28"/>
      <c r="BM243" s="28"/>
      <c r="BN243" s="29"/>
      <c r="BO243" s="29"/>
      <c r="BP243" s="29"/>
      <c r="BQ243" s="29"/>
      <c r="BR243" s="29"/>
      <c r="BS243" s="29"/>
    </row>
    <row r="244" spans="1:71" ht="13.2">
      <c r="A244" s="19"/>
      <c r="B244" s="20"/>
      <c r="C244" s="20"/>
      <c r="D244" s="21"/>
      <c r="E244" s="20"/>
      <c r="F244" s="20"/>
      <c r="G244" s="22"/>
      <c r="H244" s="22"/>
      <c r="I244" s="20"/>
      <c r="J244" s="20"/>
      <c r="K244" s="20"/>
      <c r="L244" s="22"/>
      <c r="M244" s="22"/>
      <c r="N244" s="22"/>
      <c r="O244" s="22"/>
      <c r="P244" s="22"/>
      <c r="Q244" s="22"/>
      <c r="R244" s="22"/>
      <c r="S244" s="20"/>
      <c r="T244" s="20"/>
      <c r="U244" s="20"/>
      <c r="V244" s="22"/>
      <c r="W244" s="20"/>
      <c r="X244" s="22"/>
      <c r="Y244" s="22"/>
      <c r="Z244" s="22"/>
      <c r="AA244" s="22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19"/>
      <c r="BJ244" s="20"/>
      <c r="BK244" s="20"/>
      <c r="BL244" s="28"/>
      <c r="BM244" s="28"/>
      <c r="BN244" s="29"/>
      <c r="BO244" s="29"/>
      <c r="BP244" s="29"/>
      <c r="BQ244" s="29"/>
      <c r="BR244" s="29"/>
      <c r="BS244" s="29"/>
    </row>
    <row r="245" spans="1:71" ht="13.2">
      <c r="A245" s="19"/>
      <c r="B245" s="20"/>
      <c r="C245" s="20"/>
      <c r="D245" s="21"/>
      <c r="E245" s="20"/>
      <c r="F245" s="20"/>
      <c r="G245" s="22"/>
      <c r="H245" s="22"/>
      <c r="I245" s="20"/>
      <c r="J245" s="20"/>
      <c r="K245" s="20"/>
      <c r="L245" s="22"/>
      <c r="M245" s="22"/>
      <c r="N245" s="22"/>
      <c r="O245" s="22"/>
      <c r="P245" s="22"/>
      <c r="Q245" s="22"/>
      <c r="R245" s="22"/>
      <c r="S245" s="20"/>
      <c r="T245" s="20"/>
      <c r="U245" s="20"/>
      <c r="V245" s="22"/>
      <c r="W245" s="20"/>
      <c r="X245" s="22"/>
      <c r="Y245" s="22"/>
      <c r="Z245" s="22"/>
      <c r="AA245" s="22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19"/>
      <c r="BJ245" s="20"/>
      <c r="BK245" s="20"/>
      <c r="BL245" s="28"/>
      <c r="BM245" s="28"/>
      <c r="BN245" s="29"/>
      <c r="BO245" s="29"/>
      <c r="BP245" s="29"/>
      <c r="BQ245" s="29"/>
      <c r="BR245" s="29"/>
      <c r="BS245" s="29"/>
    </row>
    <row r="246" spans="1:71" ht="13.2">
      <c r="A246" s="19"/>
      <c r="B246" s="20"/>
      <c r="C246" s="20"/>
      <c r="D246" s="21"/>
      <c r="E246" s="20"/>
      <c r="F246" s="20"/>
      <c r="G246" s="22"/>
      <c r="H246" s="22"/>
      <c r="I246" s="20"/>
      <c r="J246" s="20"/>
      <c r="K246" s="20"/>
      <c r="L246" s="22"/>
      <c r="M246" s="22"/>
      <c r="N246" s="22"/>
      <c r="O246" s="22"/>
      <c r="P246" s="22"/>
      <c r="Q246" s="22"/>
      <c r="R246" s="22"/>
      <c r="S246" s="20"/>
      <c r="T246" s="20"/>
      <c r="U246" s="20"/>
      <c r="V246" s="22"/>
      <c r="W246" s="20"/>
      <c r="X246" s="22"/>
      <c r="Y246" s="22"/>
      <c r="Z246" s="22"/>
      <c r="AA246" s="22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19"/>
      <c r="BJ246" s="20"/>
      <c r="BK246" s="20"/>
      <c r="BL246" s="28"/>
      <c r="BM246" s="28"/>
      <c r="BN246" s="29"/>
      <c r="BO246" s="29"/>
      <c r="BP246" s="29"/>
      <c r="BQ246" s="29"/>
      <c r="BR246" s="29"/>
      <c r="BS246" s="29"/>
    </row>
    <row r="247" spans="1:71" ht="13.2">
      <c r="A247" s="19"/>
      <c r="B247" s="20"/>
      <c r="C247" s="20"/>
      <c r="D247" s="21"/>
      <c r="E247" s="20"/>
      <c r="F247" s="20"/>
      <c r="G247" s="22"/>
      <c r="H247" s="22"/>
      <c r="I247" s="20"/>
      <c r="J247" s="20"/>
      <c r="K247" s="20"/>
      <c r="L247" s="22"/>
      <c r="M247" s="22"/>
      <c r="N247" s="22"/>
      <c r="O247" s="22"/>
      <c r="P247" s="22"/>
      <c r="Q247" s="22"/>
      <c r="R247" s="22"/>
      <c r="S247" s="20"/>
      <c r="T247" s="20"/>
      <c r="U247" s="20"/>
      <c r="V247" s="22"/>
      <c r="W247" s="20"/>
      <c r="X247" s="22"/>
      <c r="Y247" s="22"/>
      <c r="Z247" s="22"/>
      <c r="AA247" s="22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19"/>
      <c r="BJ247" s="20"/>
      <c r="BK247" s="20"/>
      <c r="BL247" s="28"/>
      <c r="BM247" s="28"/>
      <c r="BN247" s="29"/>
      <c r="BO247" s="29"/>
      <c r="BP247" s="29"/>
      <c r="BQ247" s="29"/>
      <c r="BR247" s="29"/>
      <c r="BS247" s="29"/>
    </row>
    <row r="248" spans="1:71" ht="13.2">
      <c r="A248" s="19"/>
      <c r="B248" s="20"/>
      <c r="C248" s="20"/>
      <c r="D248" s="21"/>
      <c r="E248" s="20"/>
      <c r="F248" s="20"/>
      <c r="G248" s="22"/>
      <c r="H248" s="22"/>
      <c r="I248" s="20"/>
      <c r="J248" s="20"/>
      <c r="K248" s="20"/>
      <c r="L248" s="22"/>
      <c r="M248" s="22"/>
      <c r="N248" s="22"/>
      <c r="O248" s="22"/>
      <c r="P248" s="22"/>
      <c r="Q248" s="22"/>
      <c r="R248" s="22"/>
      <c r="S248" s="20"/>
      <c r="T248" s="20"/>
      <c r="U248" s="20"/>
      <c r="V248" s="22"/>
      <c r="W248" s="20"/>
      <c r="X248" s="22"/>
      <c r="Y248" s="22"/>
      <c r="Z248" s="22"/>
      <c r="AA248" s="22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19"/>
      <c r="BJ248" s="20"/>
      <c r="BK248" s="20"/>
      <c r="BL248" s="28"/>
      <c r="BM248" s="28"/>
      <c r="BN248" s="29"/>
      <c r="BO248" s="29"/>
      <c r="BP248" s="29"/>
      <c r="BQ248" s="29"/>
      <c r="BR248" s="29"/>
      <c r="BS248" s="29"/>
    </row>
    <row r="249" spans="1:71" ht="13.2">
      <c r="A249" s="19"/>
      <c r="B249" s="20"/>
      <c r="C249" s="20"/>
      <c r="D249" s="21"/>
      <c r="E249" s="20"/>
      <c r="F249" s="20"/>
      <c r="G249" s="22"/>
      <c r="H249" s="22"/>
      <c r="I249" s="20"/>
      <c r="J249" s="20"/>
      <c r="K249" s="20"/>
      <c r="L249" s="22"/>
      <c r="M249" s="22"/>
      <c r="N249" s="22"/>
      <c r="O249" s="22"/>
      <c r="P249" s="22"/>
      <c r="Q249" s="22"/>
      <c r="R249" s="22"/>
      <c r="S249" s="20"/>
      <c r="T249" s="20"/>
      <c r="U249" s="20"/>
      <c r="V249" s="22"/>
      <c r="W249" s="20"/>
      <c r="X249" s="22"/>
      <c r="Y249" s="22"/>
      <c r="Z249" s="22"/>
      <c r="AA249" s="22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19"/>
      <c r="BJ249" s="20"/>
      <c r="BK249" s="20"/>
      <c r="BL249" s="28"/>
      <c r="BM249" s="28"/>
      <c r="BN249" s="29"/>
      <c r="BO249" s="29"/>
      <c r="BP249" s="29"/>
      <c r="BQ249" s="29"/>
      <c r="BR249" s="29"/>
      <c r="BS249" s="29"/>
    </row>
    <row r="250" spans="1:71" ht="13.2">
      <c r="A250" s="19"/>
      <c r="B250" s="20"/>
      <c r="C250" s="20"/>
      <c r="D250" s="21"/>
      <c r="E250" s="20"/>
      <c r="F250" s="20"/>
      <c r="G250" s="22"/>
      <c r="H250" s="22"/>
      <c r="I250" s="20"/>
      <c r="J250" s="20"/>
      <c r="K250" s="20"/>
      <c r="L250" s="22"/>
      <c r="M250" s="22"/>
      <c r="N250" s="22"/>
      <c r="O250" s="22"/>
      <c r="P250" s="22"/>
      <c r="Q250" s="22"/>
      <c r="R250" s="22"/>
      <c r="S250" s="20"/>
      <c r="T250" s="20"/>
      <c r="U250" s="20"/>
      <c r="V250" s="22"/>
      <c r="W250" s="20"/>
      <c r="X250" s="22"/>
      <c r="Y250" s="22"/>
      <c r="Z250" s="22"/>
      <c r="AA250" s="22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19"/>
      <c r="BJ250" s="20"/>
      <c r="BK250" s="20"/>
      <c r="BL250" s="28"/>
      <c r="BM250" s="28"/>
      <c r="BN250" s="29"/>
      <c r="BO250" s="29"/>
      <c r="BP250" s="29"/>
      <c r="BQ250" s="29"/>
      <c r="BR250" s="29"/>
      <c r="BS250" s="29"/>
    </row>
    <row r="251" spans="1:71" ht="13.2">
      <c r="A251" s="19"/>
      <c r="B251" s="20"/>
      <c r="C251" s="20"/>
      <c r="D251" s="21"/>
      <c r="E251" s="20"/>
      <c r="F251" s="20"/>
      <c r="G251" s="22"/>
      <c r="H251" s="22"/>
      <c r="I251" s="20"/>
      <c r="J251" s="20"/>
      <c r="K251" s="20"/>
      <c r="L251" s="22"/>
      <c r="M251" s="22"/>
      <c r="N251" s="22"/>
      <c r="O251" s="22"/>
      <c r="P251" s="22"/>
      <c r="Q251" s="22"/>
      <c r="R251" s="22"/>
      <c r="S251" s="20"/>
      <c r="T251" s="20"/>
      <c r="U251" s="20"/>
      <c r="V251" s="22"/>
      <c r="W251" s="20"/>
      <c r="X251" s="22"/>
      <c r="Y251" s="22"/>
      <c r="Z251" s="22"/>
      <c r="AA251" s="22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19"/>
      <c r="BJ251" s="20"/>
      <c r="BK251" s="20"/>
      <c r="BL251" s="28"/>
      <c r="BM251" s="28"/>
      <c r="BN251" s="29"/>
      <c r="BO251" s="29"/>
      <c r="BP251" s="29"/>
      <c r="BQ251" s="29"/>
      <c r="BR251" s="29"/>
      <c r="BS251" s="29"/>
    </row>
    <row r="252" spans="1:71" ht="13.2">
      <c r="A252" s="19"/>
      <c r="B252" s="20"/>
      <c r="C252" s="20"/>
      <c r="D252" s="21"/>
      <c r="E252" s="20"/>
      <c r="F252" s="20"/>
      <c r="G252" s="22"/>
      <c r="H252" s="22"/>
      <c r="I252" s="20"/>
      <c r="J252" s="20"/>
      <c r="K252" s="20"/>
      <c r="L252" s="22"/>
      <c r="M252" s="22"/>
      <c r="N252" s="22"/>
      <c r="O252" s="22"/>
      <c r="P252" s="22"/>
      <c r="Q252" s="22"/>
      <c r="R252" s="22"/>
      <c r="S252" s="20"/>
      <c r="T252" s="20"/>
      <c r="U252" s="20"/>
      <c r="V252" s="22"/>
      <c r="W252" s="20"/>
      <c r="X252" s="22"/>
      <c r="Y252" s="22"/>
      <c r="Z252" s="22"/>
      <c r="AA252" s="22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19"/>
      <c r="BJ252" s="20"/>
      <c r="BK252" s="20"/>
      <c r="BL252" s="28"/>
      <c r="BM252" s="28"/>
      <c r="BN252" s="29"/>
      <c r="BO252" s="29"/>
      <c r="BP252" s="29"/>
      <c r="BQ252" s="29"/>
      <c r="BR252" s="29"/>
      <c r="BS252" s="29"/>
    </row>
    <row r="253" spans="1:71" ht="13.2">
      <c r="A253" s="19"/>
      <c r="B253" s="20"/>
      <c r="C253" s="20"/>
      <c r="D253" s="21"/>
      <c r="E253" s="20"/>
      <c r="F253" s="20"/>
      <c r="G253" s="22"/>
      <c r="H253" s="22"/>
      <c r="I253" s="20"/>
      <c r="J253" s="20"/>
      <c r="K253" s="20"/>
      <c r="L253" s="22"/>
      <c r="M253" s="22"/>
      <c r="N253" s="22"/>
      <c r="O253" s="22"/>
      <c r="P253" s="22"/>
      <c r="Q253" s="22"/>
      <c r="R253" s="22"/>
      <c r="S253" s="20"/>
      <c r="T253" s="20"/>
      <c r="U253" s="20"/>
      <c r="V253" s="22"/>
      <c r="W253" s="20"/>
      <c r="X253" s="22"/>
      <c r="Y253" s="22"/>
      <c r="Z253" s="22"/>
      <c r="AA253" s="22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19"/>
      <c r="BJ253" s="20"/>
      <c r="BK253" s="20"/>
      <c r="BL253" s="28"/>
      <c r="BM253" s="28"/>
      <c r="BN253" s="29"/>
      <c r="BO253" s="29"/>
      <c r="BP253" s="29"/>
      <c r="BQ253" s="29"/>
      <c r="BR253" s="29"/>
      <c r="BS253" s="29"/>
    </row>
    <row r="254" spans="1:71" ht="13.2">
      <c r="A254" s="19"/>
      <c r="B254" s="20"/>
      <c r="C254" s="20"/>
      <c r="D254" s="21"/>
      <c r="E254" s="20"/>
      <c r="F254" s="20"/>
      <c r="G254" s="22"/>
      <c r="H254" s="22"/>
      <c r="I254" s="20"/>
      <c r="J254" s="20"/>
      <c r="K254" s="20"/>
      <c r="L254" s="22"/>
      <c r="M254" s="22"/>
      <c r="N254" s="22"/>
      <c r="O254" s="22"/>
      <c r="P254" s="22"/>
      <c r="Q254" s="22"/>
      <c r="R254" s="22"/>
      <c r="S254" s="20"/>
      <c r="T254" s="20"/>
      <c r="U254" s="20"/>
      <c r="V254" s="22"/>
      <c r="W254" s="20"/>
      <c r="X254" s="22"/>
      <c r="Y254" s="22"/>
      <c r="Z254" s="22"/>
      <c r="AA254" s="22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19"/>
      <c r="BJ254" s="20"/>
      <c r="BK254" s="20"/>
      <c r="BL254" s="28"/>
      <c r="BM254" s="28"/>
      <c r="BN254" s="29"/>
      <c r="BO254" s="29"/>
      <c r="BP254" s="29"/>
      <c r="BQ254" s="29"/>
      <c r="BR254" s="29"/>
      <c r="BS254" s="29"/>
    </row>
    <row r="255" spans="1:71" ht="13.2">
      <c r="A255" s="19"/>
      <c r="B255" s="20"/>
      <c r="C255" s="20"/>
      <c r="D255" s="21"/>
      <c r="E255" s="20"/>
      <c r="F255" s="20"/>
      <c r="G255" s="22"/>
      <c r="H255" s="22"/>
      <c r="I255" s="20"/>
      <c r="J255" s="20"/>
      <c r="K255" s="20"/>
      <c r="L255" s="22"/>
      <c r="M255" s="22"/>
      <c r="N255" s="22"/>
      <c r="O255" s="22"/>
      <c r="P255" s="22"/>
      <c r="Q255" s="22"/>
      <c r="R255" s="22"/>
      <c r="S255" s="20"/>
      <c r="T255" s="20"/>
      <c r="U255" s="20"/>
      <c r="V255" s="22"/>
      <c r="W255" s="20"/>
      <c r="X255" s="22"/>
      <c r="Y255" s="22"/>
      <c r="Z255" s="22"/>
      <c r="AA255" s="22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19"/>
      <c r="BJ255" s="20"/>
      <c r="BK255" s="20"/>
      <c r="BL255" s="28"/>
      <c r="BM255" s="28"/>
      <c r="BN255" s="29"/>
      <c r="BO255" s="29"/>
      <c r="BP255" s="29"/>
      <c r="BQ255" s="29"/>
      <c r="BR255" s="29"/>
      <c r="BS255" s="29"/>
    </row>
    <row r="256" spans="1:71" ht="13.2">
      <c r="A256" s="19"/>
      <c r="B256" s="20"/>
      <c r="C256" s="20"/>
      <c r="D256" s="21"/>
      <c r="E256" s="20"/>
      <c r="F256" s="20"/>
      <c r="G256" s="22"/>
      <c r="H256" s="22"/>
      <c r="I256" s="20"/>
      <c r="J256" s="20"/>
      <c r="K256" s="20"/>
      <c r="L256" s="22"/>
      <c r="M256" s="22"/>
      <c r="N256" s="22"/>
      <c r="O256" s="22"/>
      <c r="P256" s="22"/>
      <c r="Q256" s="22"/>
      <c r="R256" s="22"/>
      <c r="S256" s="20"/>
      <c r="T256" s="20"/>
      <c r="U256" s="20"/>
      <c r="V256" s="22"/>
      <c r="W256" s="20"/>
      <c r="X256" s="22"/>
      <c r="Y256" s="22"/>
      <c r="Z256" s="22"/>
      <c r="AA256" s="22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19"/>
      <c r="BJ256" s="20"/>
      <c r="BK256" s="20"/>
      <c r="BL256" s="28"/>
      <c r="BM256" s="28"/>
      <c r="BN256" s="29"/>
      <c r="BO256" s="29"/>
      <c r="BP256" s="29"/>
      <c r="BQ256" s="29"/>
      <c r="BR256" s="29"/>
      <c r="BS256" s="29"/>
    </row>
    <row r="257" spans="1:71" ht="13.2">
      <c r="A257" s="19"/>
      <c r="B257" s="20"/>
      <c r="C257" s="20"/>
      <c r="D257" s="21"/>
      <c r="E257" s="20"/>
      <c r="F257" s="20"/>
      <c r="G257" s="22"/>
      <c r="H257" s="22"/>
      <c r="I257" s="20"/>
      <c r="J257" s="20"/>
      <c r="K257" s="20"/>
      <c r="L257" s="22"/>
      <c r="M257" s="22"/>
      <c r="N257" s="22"/>
      <c r="O257" s="22"/>
      <c r="P257" s="22"/>
      <c r="Q257" s="22"/>
      <c r="R257" s="22"/>
      <c r="S257" s="20"/>
      <c r="T257" s="20"/>
      <c r="U257" s="20"/>
      <c r="V257" s="22"/>
      <c r="W257" s="20"/>
      <c r="X257" s="22"/>
      <c r="Y257" s="22"/>
      <c r="Z257" s="22"/>
      <c r="AA257" s="22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19"/>
      <c r="BJ257" s="20"/>
      <c r="BK257" s="20"/>
      <c r="BL257" s="28"/>
      <c r="BM257" s="28"/>
      <c r="BN257" s="29"/>
      <c r="BO257" s="29"/>
      <c r="BP257" s="29"/>
      <c r="BQ257" s="29"/>
      <c r="BR257" s="29"/>
      <c r="BS257" s="29"/>
    </row>
    <row r="258" spans="1:71" ht="13.2">
      <c r="A258" s="19"/>
      <c r="B258" s="20"/>
      <c r="C258" s="20"/>
      <c r="D258" s="21"/>
      <c r="E258" s="20"/>
      <c r="F258" s="20"/>
      <c r="G258" s="22"/>
      <c r="H258" s="22"/>
      <c r="I258" s="20"/>
      <c r="J258" s="20"/>
      <c r="K258" s="20"/>
      <c r="L258" s="22"/>
      <c r="M258" s="22"/>
      <c r="N258" s="22"/>
      <c r="O258" s="22"/>
      <c r="P258" s="22"/>
      <c r="Q258" s="22"/>
      <c r="R258" s="22"/>
      <c r="S258" s="20"/>
      <c r="T258" s="20"/>
      <c r="U258" s="20"/>
      <c r="V258" s="22"/>
      <c r="W258" s="20"/>
      <c r="X258" s="22"/>
      <c r="Y258" s="22"/>
      <c r="Z258" s="22"/>
      <c r="AA258" s="22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19"/>
      <c r="BJ258" s="20"/>
      <c r="BK258" s="20"/>
      <c r="BL258" s="28"/>
      <c r="BM258" s="28"/>
      <c r="BN258" s="29"/>
      <c r="BO258" s="29"/>
      <c r="BP258" s="29"/>
      <c r="BQ258" s="29"/>
      <c r="BR258" s="29"/>
      <c r="BS258" s="29"/>
    </row>
    <row r="259" spans="1:71" ht="13.2">
      <c r="A259" s="19"/>
      <c r="B259" s="20"/>
      <c r="C259" s="20"/>
      <c r="D259" s="21"/>
      <c r="E259" s="20"/>
      <c r="F259" s="20"/>
      <c r="G259" s="22"/>
      <c r="H259" s="22"/>
      <c r="I259" s="20"/>
      <c r="J259" s="20"/>
      <c r="K259" s="20"/>
      <c r="L259" s="22"/>
      <c r="M259" s="22"/>
      <c r="N259" s="22"/>
      <c r="O259" s="22"/>
      <c r="P259" s="22"/>
      <c r="Q259" s="22"/>
      <c r="R259" s="22"/>
      <c r="S259" s="20"/>
      <c r="T259" s="20"/>
      <c r="U259" s="20"/>
      <c r="V259" s="22"/>
      <c r="W259" s="20"/>
      <c r="X259" s="22"/>
      <c r="Y259" s="22"/>
      <c r="Z259" s="22"/>
      <c r="AA259" s="22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19"/>
      <c r="BJ259" s="20"/>
      <c r="BK259" s="20"/>
      <c r="BL259" s="28"/>
      <c r="BM259" s="28"/>
      <c r="BN259" s="29"/>
      <c r="BO259" s="29"/>
      <c r="BP259" s="29"/>
      <c r="BQ259" s="29"/>
      <c r="BR259" s="29"/>
      <c r="BS259" s="29"/>
    </row>
    <row r="260" spans="1:71" ht="13.2">
      <c r="A260" s="19"/>
      <c r="B260" s="20"/>
      <c r="C260" s="20"/>
      <c r="D260" s="21"/>
      <c r="E260" s="20"/>
      <c r="F260" s="20"/>
      <c r="G260" s="22"/>
      <c r="H260" s="22"/>
      <c r="I260" s="20"/>
      <c r="J260" s="20"/>
      <c r="K260" s="20"/>
      <c r="L260" s="22"/>
      <c r="M260" s="22"/>
      <c r="N260" s="22"/>
      <c r="O260" s="22"/>
      <c r="P260" s="22"/>
      <c r="Q260" s="22"/>
      <c r="R260" s="22"/>
      <c r="S260" s="20"/>
      <c r="T260" s="20"/>
      <c r="U260" s="20"/>
      <c r="V260" s="22"/>
      <c r="W260" s="20"/>
      <c r="X260" s="22"/>
      <c r="Y260" s="22"/>
      <c r="Z260" s="22"/>
      <c r="AA260" s="22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19"/>
      <c r="BJ260" s="20"/>
      <c r="BK260" s="20"/>
      <c r="BL260" s="28"/>
      <c r="BM260" s="28"/>
      <c r="BN260" s="29"/>
      <c r="BO260" s="29"/>
      <c r="BP260" s="29"/>
      <c r="BQ260" s="29"/>
      <c r="BR260" s="29"/>
      <c r="BS260" s="29"/>
    </row>
    <row r="261" spans="1:71" ht="13.2">
      <c r="A261" s="19"/>
      <c r="B261" s="20"/>
      <c r="C261" s="20"/>
      <c r="D261" s="21"/>
      <c r="E261" s="20"/>
      <c r="F261" s="20"/>
      <c r="G261" s="22"/>
      <c r="H261" s="22"/>
      <c r="I261" s="20"/>
      <c r="J261" s="20"/>
      <c r="K261" s="20"/>
      <c r="L261" s="22"/>
      <c r="M261" s="22"/>
      <c r="N261" s="22"/>
      <c r="O261" s="22"/>
      <c r="P261" s="22"/>
      <c r="Q261" s="22"/>
      <c r="R261" s="22"/>
      <c r="S261" s="20"/>
      <c r="T261" s="20"/>
      <c r="U261" s="20"/>
      <c r="V261" s="22"/>
      <c r="W261" s="20"/>
      <c r="X261" s="22"/>
      <c r="Y261" s="22"/>
      <c r="Z261" s="22"/>
      <c r="AA261" s="22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19"/>
      <c r="BJ261" s="20"/>
      <c r="BK261" s="20"/>
      <c r="BL261" s="28"/>
      <c r="BM261" s="28"/>
      <c r="BN261" s="29"/>
      <c r="BO261" s="29"/>
      <c r="BP261" s="29"/>
      <c r="BQ261" s="29"/>
      <c r="BR261" s="29"/>
      <c r="BS261" s="29"/>
    </row>
    <row r="262" spans="1:71" ht="13.2">
      <c r="A262" s="19"/>
      <c r="B262" s="20"/>
      <c r="C262" s="20"/>
      <c r="D262" s="21"/>
      <c r="E262" s="20"/>
      <c r="F262" s="20"/>
      <c r="G262" s="22"/>
      <c r="H262" s="22"/>
      <c r="I262" s="20"/>
      <c r="J262" s="20"/>
      <c r="K262" s="20"/>
      <c r="L262" s="22"/>
      <c r="M262" s="22"/>
      <c r="N262" s="22"/>
      <c r="O262" s="22"/>
      <c r="P262" s="22"/>
      <c r="Q262" s="22"/>
      <c r="R262" s="22"/>
      <c r="S262" s="20"/>
      <c r="T262" s="20"/>
      <c r="U262" s="20"/>
      <c r="V262" s="22"/>
      <c r="W262" s="20"/>
      <c r="X262" s="22"/>
      <c r="Y262" s="22"/>
      <c r="Z262" s="22"/>
      <c r="AA262" s="22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19"/>
      <c r="BJ262" s="20"/>
      <c r="BK262" s="20"/>
      <c r="BL262" s="28"/>
      <c r="BM262" s="28"/>
      <c r="BN262" s="29"/>
      <c r="BO262" s="29"/>
      <c r="BP262" s="29"/>
      <c r="BQ262" s="29"/>
      <c r="BR262" s="29"/>
      <c r="BS262" s="29"/>
    </row>
    <row r="263" spans="1:71" ht="13.2">
      <c r="A263" s="19"/>
      <c r="B263" s="20"/>
      <c r="C263" s="20"/>
      <c r="D263" s="21"/>
      <c r="E263" s="20"/>
      <c r="F263" s="20"/>
      <c r="G263" s="22"/>
      <c r="H263" s="22"/>
      <c r="I263" s="20"/>
      <c r="J263" s="20"/>
      <c r="K263" s="20"/>
      <c r="L263" s="22"/>
      <c r="M263" s="22"/>
      <c r="N263" s="22"/>
      <c r="O263" s="22"/>
      <c r="P263" s="22"/>
      <c r="Q263" s="22"/>
      <c r="R263" s="22"/>
      <c r="S263" s="20"/>
      <c r="T263" s="20"/>
      <c r="U263" s="20"/>
      <c r="V263" s="22"/>
      <c r="W263" s="20"/>
      <c r="X263" s="22"/>
      <c r="Y263" s="22"/>
      <c r="Z263" s="22"/>
      <c r="AA263" s="22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19"/>
      <c r="BJ263" s="20"/>
      <c r="BK263" s="20"/>
      <c r="BL263" s="28"/>
      <c r="BM263" s="28"/>
      <c r="BN263" s="29"/>
      <c r="BO263" s="29"/>
      <c r="BP263" s="29"/>
      <c r="BQ263" s="29"/>
      <c r="BR263" s="29"/>
      <c r="BS263" s="29"/>
    </row>
    <row r="264" spans="1:71" ht="13.2">
      <c r="A264" s="19"/>
      <c r="B264" s="20"/>
      <c r="C264" s="20"/>
      <c r="D264" s="21"/>
      <c r="E264" s="20"/>
      <c r="F264" s="20"/>
      <c r="G264" s="22"/>
      <c r="H264" s="22"/>
      <c r="I264" s="20"/>
      <c r="J264" s="20"/>
      <c r="K264" s="20"/>
      <c r="L264" s="22"/>
      <c r="M264" s="22"/>
      <c r="N264" s="22"/>
      <c r="O264" s="22"/>
      <c r="P264" s="22"/>
      <c r="Q264" s="22"/>
      <c r="R264" s="22"/>
      <c r="S264" s="20"/>
      <c r="T264" s="20"/>
      <c r="U264" s="20"/>
      <c r="V264" s="22"/>
      <c r="W264" s="20"/>
      <c r="X264" s="22"/>
      <c r="Y264" s="22"/>
      <c r="Z264" s="22"/>
      <c r="AA264" s="22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19"/>
      <c r="BJ264" s="20"/>
      <c r="BK264" s="20"/>
      <c r="BL264" s="28"/>
      <c r="BM264" s="28"/>
      <c r="BN264" s="29"/>
      <c r="BO264" s="29"/>
      <c r="BP264" s="29"/>
      <c r="BQ264" s="29"/>
      <c r="BR264" s="29"/>
      <c r="BS264" s="29"/>
    </row>
    <row r="265" spans="1:71" ht="13.2">
      <c r="A265" s="19"/>
      <c r="B265" s="20"/>
      <c r="C265" s="20"/>
      <c r="D265" s="21"/>
      <c r="E265" s="20"/>
      <c r="F265" s="20"/>
      <c r="G265" s="22"/>
      <c r="H265" s="22"/>
      <c r="I265" s="20"/>
      <c r="J265" s="20"/>
      <c r="K265" s="20"/>
      <c r="L265" s="22"/>
      <c r="M265" s="22"/>
      <c r="N265" s="22"/>
      <c r="O265" s="22"/>
      <c r="P265" s="22"/>
      <c r="Q265" s="22"/>
      <c r="R265" s="22"/>
      <c r="S265" s="20"/>
      <c r="T265" s="20"/>
      <c r="U265" s="20"/>
      <c r="V265" s="22"/>
      <c r="W265" s="20"/>
      <c r="X265" s="22"/>
      <c r="Y265" s="22"/>
      <c r="Z265" s="22"/>
      <c r="AA265" s="22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19"/>
      <c r="BJ265" s="20"/>
      <c r="BK265" s="20"/>
      <c r="BL265" s="28"/>
      <c r="BM265" s="28"/>
      <c r="BN265" s="29"/>
      <c r="BO265" s="29"/>
      <c r="BP265" s="29"/>
      <c r="BQ265" s="29"/>
      <c r="BR265" s="29"/>
      <c r="BS265" s="29"/>
    </row>
    <row r="266" spans="1:71" ht="13.2">
      <c r="A266" s="19"/>
      <c r="B266" s="20"/>
      <c r="C266" s="20"/>
      <c r="D266" s="21"/>
      <c r="E266" s="20"/>
      <c r="F266" s="20"/>
      <c r="G266" s="22"/>
      <c r="H266" s="22"/>
      <c r="I266" s="20"/>
      <c r="J266" s="20"/>
      <c r="K266" s="20"/>
      <c r="L266" s="22"/>
      <c r="M266" s="22"/>
      <c r="N266" s="22"/>
      <c r="O266" s="22"/>
      <c r="P266" s="22"/>
      <c r="Q266" s="22"/>
      <c r="R266" s="22"/>
      <c r="S266" s="20"/>
      <c r="T266" s="20"/>
      <c r="U266" s="20"/>
      <c r="V266" s="22"/>
      <c r="W266" s="20"/>
      <c r="X266" s="22"/>
      <c r="Y266" s="22"/>
      <c r="Z266" s="22"/>
      <c r="AA266" s="22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19"/>
      <c r="BJ266" s="20"/>
      <c r="BK266" s="20"/>
      <c r="BL266" s="28"/>
      <c r="BM266" s="28"/>
      <c r="BN266" s="29"/>
      <c r="BO266" s="29"/>
      <c r="BP266" s="29"/>
      <c r="BQ266" s="29"/>
      <c r="BR266" s="29"/>
      <c r="BS266" s="29"/>
    </row>
    <row r="267" spans="1:71" ht="13.2">
      <c r="A267" s="19"/>
      <c r="B267" s="20"/>
      <c r="C267" s="20"/>
      <c r="D267" s="21"/>
      <c r="E267" s="20"/>
      <c r="F267" s="20"/>
      <c r="G267" s="22"/>
      <c r="H267" s="22"/>
      <c r="I267" s="20"/>
      <c r="J267" s="20"/>
      <c r="K267" s="20"/>
      <c r="L267" s="22"/>
      <c r="M267" s="22"/>
      <c r="N267" s="22"/>
      <c r="O267" s="22"/>
      <c r="P267" s="22"/>
      <c r="Q267" s="22"/>
      <c r="R267" s="22"/>
      <c r="S267" s="20"/>
      <c r="T267" s="20"/>
      <c r="U267" s="20"/>
      <c r="V267" s="22"/>
      <c r="W267" s="20"/>
      <c r="X267" s="22"/>
      <c r="Y267" s="22"/>
      <c r="Z267" s="22"/>
      <c r="AA267" s="22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19"/>
      <c r="BJ267" s="20"/>
      <c r="BK267" s="20"/>
      <c r="BL267" s="28"/>
      <c r="BM267" s="28"/>
      <c r="BN267" s="29"/>
      <c r="BO267" s="29"/>
      <c r="BP267" s="29"/>
      <c r="BQ267" s="29"/>
      <c r="BR267" s="29"/>
      <c r="BS267" s="29"/>
    </row>
    <row r="268" spans="1:71" ht="13.2">
      <c r="A268" s="19"/>
      <c r="B268" s="20"/>
      <c r="C268" s="20"/>
      <c r="D268" s="21"/>
      <c r="E268" s="20"/>
      <c r="F268" s="20"/>
      <c r="G268" s="22"/>
      <c r="H268" s="22"/>
      <c r="I268" s="20"/>
      <c r="J268" s="20"/>
      <c r="K268" s="20"/>
      <c r="L268" s="22"/>
      <c r="M268" s="22"/>
      <c r="N268" s="22"/>
      <c r="O268" s="22"/>
      <c r="P268" s="22"/>
      <c r="Q268" s="22"/>
      <c r="R268" s="22"/>
      <c r="S268" s="20"/>
      <c r="T268" s="20"/>
      <c r="U268" s="20"/>
      <c r="V268" s="22"/>
      <c r="W268" s="20"/>
      <c r="X268" s="22"/>
      <c r="Y268" s="22"/>
      <c r="Z268" s="22"/>
      <c r="AA268" s="22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19"/>
      <c r="BJ268" s="20"/>
      <c r="BK268" s="20"/>
      <c r="BL268" s="28"/>
      <c r="BM268" s="28"/>
      <c r="BN268" s="29"/>
      <c r="BO268" s="29"/>
      <c r="BP268" s="29"/>
      <c r="BQ268" s="29"/>
      <c r="BR268" s="29"/>
      <c r="BS268" s="29"/>
    </row>
    <row r="269" spans="1:71" ht="13.2">
      <c r="A269" s="19"/>
      <c r="B269" s="20"/>
      <c r="C269" s="20"/>
      <c r="D269" s="21"/>
      <c r="E269" s="20"/>
      <c r="F269" s="20"/>
      <c r="G269" s="22"/>
      <c r="H269" s="22"/>
      <c r="I269" s="20"/>
      <c r="J269" s="20"/>
      <c r="K269" s="20"/>
      <c r="L269" s="22"/>
      <c r="M269" s="22"/>
      <c r="N269" s="22"/>
      <c r="O269" s="22"/>
      <c r="P269" s="22"/>
      <c r="Q269" s="22"/>
      <c r="R269" s="22"/>
      <c r="S269" s="20"/>
      <c r="T269" s="20"/>
      <c r="U269" s="20"/>
      <c r="V269" s="22"/>
      <c r="W269" s="20"/>
      <c r="X269" s="22"/>
      <c r="Y269" s="22"/>
      <c r="Z269" s="22"/>
      <c r="AA269" s="22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19"/>
      <c r="BJ269" s="20"/>
      <c r="BK269" s="20"/>
      <c r="BL269" s="28"/>
      <c r="BM269" s="28"/>
      <c r="BN269" s="29"/>
      <c r="BO269" s="29"/>
      <c r="BP269" s="29"/>
      <c r="BQ269" s="29"/>
      <c r="BR269" s="29"/>
      <c r="BS269" s="29"/>
    </row>
    <row r="270" spans="1:71" ht="13.2">
      <c r="A270" s="19"/>
      <c r="B270" s="20"/>
      <c r="C270" s="20"/>
      <c r="D270" s="21"/>
      <c r="E270" s="20"/>
      <c r="F270" s="20"/>
      <c r="G270" s="22"/>
      <c r="H270" s="22"/>
      <c r="I270" s="20"/>
      <c r="J270" s="20"/>
      <c r="K270" s="20"/>
      <c r="L270" s="22"/>
      <c r="M270" s="22"/>
      <c r="N270" s="22"/>
      <c r="O270" s="22"/>
      <c r="P270" s="22"/>
      <c r="Q270" s="22"/>
      <c r="R270" s="22"/>
      <c r="S270" s="20"/>
      <c r="T270" s="20"/>
      <c r="U270" s="20"/>
      <c r="V270" s="22"/>
      <c r="W270" s="20"/>
      <c r="X270" s="22"/>
      <c r="Y270" s="22"/>
      <c r="Z270" s="22"/>
      <c r="AA270" s="22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19"/>
      <c r="BJ270" s="20"/>
      <c r="BK270" s="20"/>
      <c r="BL270" s="28"/>
      <c r="BM270" s="28"/>
      <c r="BN270" s="29"/>
      <c r="BO270" s="29"/>
      <c r="BP270" s="29"/>
      <c r="BQ270" s="29"/>
      <c r="BR270" s="29"/>
      <c r="BS270" s="29"/>
    </row>
    <row r="271" spans="1:71" ht="13.2">
      <c r="A271" s="19"/>
      <c r="B271" s="20"/>
      <c r="C271" s="20"/>
      <c r="D271" s="21"/>
      <c r="E271" s="20"/>
      <c r="F271" s="20"/>
      <c r="G271" s="22"/>
      <c r="H271" s="22"/>
      <c r="I271" s="20"/>
      <c r="J271" s="20"/>
      <c r="K271" s="20"/>
      <c r="L271" s="22"/>
      <c r="M271" s="22"/>
      <c r="N271" s="22"/>
      <c r="O271" s="22"/>
      <c r="P271" s="22"/>
      <c r="Q271" s="22"/>
      <c r="R271" s="22"/>
      <c r="S271" s="20"/>
      <c r="T271" s="20"/>
      <c r="U271" s="20"/>
      <c r="V271" s="22"/>
      <c r="W271" s="20"/>
      <c r="X271" s="22"/>
      <c r="Y271" s="22"/>
      <c r="Z271" s="22"/>
      <c r="AA271" s="22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19"/>
      <c r="BJ271" s="20"/>
      <c r="BK271" s="20"/>
      <c r="BL271" s="28"/>
      <c r="BM271" s="28"/>
      <c r="BN271" s="29"/>
      <c r="BO271" s="29"/>
      <c r="BP271" s="29"/>
      <c r="BQ271" s="29"/>
      <c r="BR271" s="29"/>
      <c r="BS271" s="29"/>
    </row>
    <row r="272" spans="1:71" ht="13.2">
      <c r="A272" s="19"/>
      <c r="B272" s="20"/>
      <c r="C272" s="20"/>
      <c r="D272" s="21"/>
      <c r="E272" s="20"/>
      <c r="F272" s="20"/>
      <c r="G272" s="22"/>
      <c r="H272" s="22"/>
      <c r="I272" s="20"/>
      <c r="J272" s="20"/>
      <c r="K272" s="20"/>
      <c r="L272" s="22"/>
      <c r="M272" s="22"/>
      <c r="N272" s="22"/>
      <c r="O272" s="22"/>
      <c r="P272" s="22"/>
      <c r="Q272" s="22"/>
      <c r="R272" s="22"/>
      <c r="S272" s="20"/>
      <c r="T272" s="20"/>
      <c r="U272" s="20"/>
      <c r="V272" s="22"/>
      <c r="W272" s="20"/>
      <c r="X272" s="22"/>
      <c r="Y272" s="22"/>
      <c r="Z272" s="22"/>
      <c r="AA272" s="22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19"/>
      <c r="BJ272" s="20"/>
      <c r="BK272" s="20"/>
      <c r="BL272" s="28"/>
      <c r="BM272" s="28"/>
      <c r="BN272" s="29"/>
      <c r="BO272" s="29"/>
      <c r="BP272" s="29"/>
      <c r="BQ272" s="29"/>
      <c r="BR272" s="29"/>
      <c r="BS272" s="29"/>
    </row>
    <row r="273" spans="1:71" ht="13.2">
      <c r="A273" s="19"/>
      <c r="B273" s="20"/>
      <c r="C273" s="20"/>
      <c r="D273" s="21"/>
      <c r="E273" s="20"/>
      <c r="F273" s="20"/>
      <c r="G273" s="22"/>
      <c r="H273" s="22"/>
      <c r="I273" s="20"/>
      <c r="J273" s="20"/>
      <c r="K273" s="20"/>
      <c r="L273" s="22"/>
      <c r="M273" s="22"/>
      <c r="N273" s="22"/>
      <c r="O273" s="22"/>
      <c r="P273" s="22"/>
      <c r="Q273" s="22"/>
      <c r="R273" s="22"/>
      <c r="S273" s="20"/>
      <c r="T273" s="20"/>
      <c r="U273" s="20"/>
      <c r="V273" s="22"/>
      <c r="W273" s="20"/>
      <c r="X273" s="22"/>
      <c r="Y273" s="22"/>
      <c r="Z273" s="22"/>
      <c r="AA273" s="22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19"/>
      <c r="BJ273" s="20"/>
      <c r="BK273" s="20"/>
      <c r="BL273" s="28"/>
      <c r="BM273" s="28"/>
      <c r="BN273" s="29"/>
      <c r="BO273" s="29"/>
      <c r="BP273" s="29"/>
      <c r="BQ273" s="29"/>
      <c r="BR273" s="29"/>
      <c r="BS273" s="29"/>
    </row>
    <row r="274" spans="1:71" ht="13.2">
      <c r="A274" s="19"/>
      <c r="B274" s="20"/>
      <c r="C274" s="20"/>
      <c r="D274" s="21"/>
      <c r="E274" s="20"/>
      <c r="F274" s="20"/>
      <c r="G274" s="22"/>
      <c r="H274" s="22"/>
      <c r="I274" s="20"/>
      <c r="J274" s="20"/>
      <c r="K274" s="20"/>
      <c r="L274" s="22"/>
      <c r="M274" s="22"/>
      <c r="N274" s="22"/>
      <c r="O274" s="22"/>
      <c r="P274" s="22"/>
      <c r="Q274" s="22"/>
      <c r="R274" s="22"/>
      <c r="S274" s="20"/>
      <c r="T274" s="20"/>
      <c r="U274" s="20"/>
      <c r="V274" s="22"/>
      <c r="W274" s="20"/>
      <c r="X274" s="22"/>
      <c r="Y274" s="22"/>
      <c r="Z274" s="22"/>
      <c r="AA274" s="22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19"/>
      <c r="BJ274" s="20"/>
      <c r="BK274" s="20"/>
      <c r="BL274" s="28"/>
      <c r="BM274" s="28"/>
      <c r="BN274" s="29"/>
      <c r="BO274" s="29"/>
      <c r="BP274" s="29"/>
      <c r="BQ274" s="29"/>
      <c r="BR274" s="29"/>
      <c r="BS274" s="29"/>
    </row>
    <row r="275" spans="1:71" ht="13.2">
      <c r="A275" s="19"/>
      <c r="B275" s="20"/>
      <c r="C275" s="20"/>
      <c r="D275" s="21"/>
      <c r="E275" s="20"/>
      <c r="F275" s="20"/>
      <c r="G275" s="22"/>
      <c r="H275" s="22"/>
      <c r="I275" s="20"/>
      <c r="J275" s="20"/>
      <c r="K275" s="20"/>
      <c r="L275" s="22"/>
      <c r="M275" s="22"/>
      <c r="N275" s="22"/>
      <c r="O275" s="22"/>
      <c r="P275" s="22"/>
      <c r="Q275" s="22"/>
      <c r="R275" s="22"/>
      <c r="S275" s="20"/>
      <c r="T275" s="20"/>
      <c r="U275" s="20"/>
      <c r="V275" s="22"/>
      <c r="W275" s="20"/>
      <c r="X275" s="22"/>
      <c r="Y275" s="22"/>
      <c r="Z275" s="22"/>
      <c r="AA275" s="22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19"/>
      <c r="BJ275" s="20"/>
      <c r="BK275" s="20"/>
      <c r="BL275" s="28"/>
      <c r="BM275" s="28"/>
      <c r="BN275" s="29"/>
      <c r="BO275" s="29"/>
      <c r="BP275" s="29"/>
      <c r="BQ275" s="29"/>
      <c r="BR275" s="29"/>
      <c r="BS275" s="29"/>
    </row>
    <row r="276" spans="1:71" ht="13.2">
      <c r="A276" s="19"/>
      <c r="B276" s="20"/>
      <c r="C276" s="20"/>
      <c r="D276" s="21"/>
      <c r="E276" s="20"/>
      <c r="F276" s="20"/>
      <c r="G276" s="22"/>
      <c r="H276" s="22"/>
      <c r="I276" s="20"/>
      <c r="J276" s="20"/>
      <c r="K276" s="20"/>
      <c r="L276" s="22"/>
      <c r="M276" s="22"/>
      <c r="N276" s="22"/>
      <c r="O276" s="22"/>
      <c r="P276" s="22"/>
      <c r="Q276" s="22"/>
      <c r="R276" s="22"/>
      <c r="S276" s="20"/>
      <c r="T276" s="20"/>
      <c r="U276" s="20"/>
      <c r="V276" s="22"/>
      <c r="W276" s="20"/>
      <c r="X276" s="22"/>
      <c r="Y276" s="22"/>
      <c r="Z276" s="22"/>
      <c r="AA276" s="22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19"/>
      <c r="BJ276" s="20"/>
      <c r="BK276" s="20"/>
      <c r="BL276" s="28"/>
      <c r="BM276" s="28"/>
      <c r="BN276" s="29"/>
      <c r="BO276" s="29"/>
      <c r="BP276" s="29"/>
      <c r="BQ276" s="29"/>
      <c r="BR276" s="29"/>
      <c r="BS276" s="29"/>
    </row>
    <row r="277" spans="1:71" ht="13.2">
      <c r="A277" s="19"/>
      <c r="B277" s="20"/>
      <c r="C277" s="20"/>
      <c r="D277" s="21"/>
      <c r="E277" s="20"/>
      <c r="F277" s="20"/>
      <c r="G277" s="22"/>
      <c r="H277" s="22"/>
      <c r="I277" s="20"/>
      <c r="J277" s="20"/>
      <c r="K277" s="20"/>
      <c r="L277" s="22"/>
      <c r="M277" s="22"/>
      <c r="N277" s="22"/>
      <c r="O277" s="22"/>
      <c r="P277" s="22"/>
      <c r="Q277" s="22"/>
      <c r="R277" s="22"/>
      <c r="S277" s="20"/>
      <c r="T277" s="20"/>
      <c r="U277" s="20"/>
      <c r="V277" s="22"/>
      <c r="W277" s="20"/>
      <c r="X277" s="22"/>
      <c r="Y277" s="22"/>
      <c r="Z277" s="22"/>
      <c r="AA277" s="22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19"/>
      <c r="BJ277" s="20"/>
      <c r="BK277" s="20"/>
      <c r="BL277" s="28"/>
      <c r="BM277" s="28"/>
      <c r="BN277" s="29"/>
      <c r="BO277" s="29"/>
      <c r="BP277" s="29"/>
      <c r="BQ277" s="29"/>
      <c r="BR277" s="29"/>
      <c r="BS277" s="29"/>
    </row>
    <row r="278" spans="1:71" ht="13.2">
      <c r="A278" s="19"/>
      <c r="B278" s="20"/>
      <c r="C278" s="20"/>
      <c r="D278" s="21"/>
      <c r="E278" s="20"/>
      <c r="F278" s="20"/>
      <c r="G278" s="22"/>
      <c r="H278" s="22"/>
      <c r="I278" s="20"/>
      <c r="J278" s="20"/>
      <c r="K278" s="20"/>
      <c r="L278" s="22"/>
      <c r="M278" s="22"/>
      <c r="N278" s="22"/>
      <c r="O278" s="22"/>
      <c r="P278" s="22"/>
      <c r="Q278" s="22"/>
      <c r="R278" s="22"/>
      <c r="S278" s="20"/>
      <c r="T278" s="20"/>
      <c r="U278" s="20"/>
      <c r="V278" s="22"/>
      <c r="W278" s="20"/>
      <c r="X278" s="22"/>
      <c r="Y278" s="22"/>
      <c r="Z278" s="22"/>
      <c r="AA278" s="22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19"/>
      <c r="BJ278" s="20"/>
      <c r="BK278" s="20"/>
      <c r="BL278" s="28"/>
      <c r="BM278" s="28"/>
      <c r="BN278" s="29"/>
      <c r="BO278" s="29"/>
      <c r="BP278" s="29"/>
      <c r="BQ278" s="29"/>
      <c r="BR278" s="29"/>
      <c r="BS278" s="29"/>
    </row>
    <row r="279" spans="1:71" ht="13.2">
      <c r="A279" s="19"/>
      <c r="B279" s="20"/>
      <c r="C279" s="20"/>
      <c r="D279" s="21"/>
      <c r="E279" s="20"/>
      <c r="F279" s="20"/>
      <c r="G279" s="22"/>
      <c r="H279" s="22"/>
      <c r="I279" s="20"/>
      <c r="J279" s="20"/>
      <c r="K279" s="20"/>
      <c r="L279" s="22"/>
      <c r="M279" s="22"/>
      <c r="N279" s="22"/>
      <c r="O279" s="22"/>
      <c r="P279" s="22"/>
      <c r="Q279" s="22"/>
      <c r="R279" s="22"/>
      <c r="S279" s="20"/>
      <c r="T279" s="20"/>
      <c r="U279" s="20"/>
      <c r="V279" s="22"/>
      <c r="W279" s="20"/>
      <c r="X279" s="22"/>
      <c r="Y279" s="22"/>
      <c r="Z279" s="22"/>
      <c r="AA279" s="22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19"/>
      <c r="BJ279" s="20"/>
      <c r="BK279" s="20"/>
      <c r="BL279" s="28"/>
      <c r="BM279" s="28"/>
      <c r="BN279" s="29"/>
      <c r="BO279" s="29"/>
      <c r="BP279" s="29"/>
      <c r="BQ279" s="29"/>
      <c r="BR279" s="29"/>
      <c r="BS279" s="29"/>
    </row>
    <row r="280" spans="1:71" ht="13.2">
      <c r="A280" s="19"/>
      <c r="B280" s="20"/>
      <c r="C280" s="20"/>
      <c r="D280" s="21"/>
      <c r="E280" s="20"/>
      <c r="F280" s="20"/>
      <c r="G280" s="22"/>
      <c r="H280" s="22"/>
      <c r="I280" s="20"/>
      <c r="J280" s="20"/>
      <c r="K280" s="20"/>
      <c r="L280" s="22"/>
      <c r="M280" s="22"/>
      <c r="N280" s="22"/>
      <c r="O280" s="22"/>
      <c r="P280" s="22"/>
      <c r="Q280" s="22"/>
      <c r="R280" s="22"/>
      <c r="S280" s="20"/>
      <c r="T280" s="20"/>
      <c r="U280" s="20"/>
      <c r="V280" s="22"/>
      <c r="W280" s="20"/>
      <c r="X280" s="22"/>
      <c r="Y280" s="22"/>
      <c r="Z280" s="22"/>
      <c r="AA280" s="22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19"/>
      <c r="BJ280" s="20"/>
      <c r="BK280" s="20"/>
      <c r="BL280" s="28"/>
      <c r="BM280" s="28"/>
      <c r="BN280" s="29"/>
      <c r="BO280" s="29"/>
      <c r="BP280" s="29"/>
      <c r="BQ280" s="29"/>
      <c r="BR280" s="29"/>
      <c r="BS280" s="29"/>
    </row>
    <row r="281" spans="1:71" ht="13.2">
      <c r="A281" s="19"/>
      <c r="B281" s="20"/>
      <c r="C281" s="20"/>
      <c r="D281" s="21"/>
      <c r="E281" s="20"/>
      <c r="F281" s="20"/>
      <c r="G281" s="22"/>
      <c r="H281" s="22"/>
      <c r="I281" s="20"/>
      <c r="J281" s="20"/>
      <c r="K281" s="20"/>
      <c r="L281" s="22"/>
      <c r="M281" s="22"/>
      <c r="N281" s="22"/>
      <c r="O281" s="22"/>
      <c r="P281" s="22"/>
      <c r="Q281" s="22"/>
      <c r="R281" s="22"/>
      <c r="S281" s="20"/>
      <c r="T281" s="20"/>
      <c r="U281" s="20"/>
      <c r="V281" s="22"/>
      <c r="W281" s="20"/>
      <c r="X281" s="22"/>
      <c r="Y281" s="22"/>
      <c r="Z281" s="22"/>
      <c r="AA281" s="22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19"/>
      <c r="BJ281" s="20"/>
      <c r="BK281" s="20"/>
      <c r="BL281" s="28"/>
      <c r="BM281" s="28"/>
      <c r="BN281" s="29"/>
      <c r="BO281" s="29"/>
      <c r="BP281" s="29"/>
      <c r="BQ281" s="29"/>
      <c r="BR281" s="29"/>
      <c r="BS281" s="29"/>
    </row>
    <row r="282" spans="1:71" ht="13.2">
      <c r="A282" s="19"/>
      <c r="B282" s="20"/>
      <c r="C282" s="20"/>
      <c r="D282" s="21"/>
      <c r="E282" s="20"/>
      <c r="F282" s="20"/>
      <c r="G282" s="22"/>
      <c r="H282" s="22"/>
      <c r="I282" s="20"/>
      <c r="J282" s="20"/>
      <c r="K282" s="20"/>
      <c r="L282" s="22"/>
      <c r="M282" s="22"/>
      <c r="N282" s="22"/>
      <c r="O282" s="22"/>
      <c r="P282" s="22"/>
      <c r="Q282" s="22"/>
      <c r="R282" s="22"/>
      <c r="S282" s="20"/>
      <c r="T282" s="20"/>
      <c r="U282" s="20"/>
      <c r="V282" s="22"/>
      <c r="W282" s="20"/>
      <c r="X282" s="22"/>
      <c r="Y282" s="22"/>
      <c r="Z282" s="22"/>
      <c r="AA282" s="22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19"/>
      <c r="BJ282" s="20"/>
      <c r="BK282" s="20"/>
      <c r="BL282" s="28"/>
      <c r="BM282" s="28"/>
      <c r="BN282" s="29"/>
      <c r="BO282" s="29"/>
      <c r="BP282" s="29"/>
      <c r="BQ282" s="29"/>
      <c r="BR282" s="29"/>
      <c r="BS282" s="29"/>
    </row>
    <row r="283" spans="1:71" ht="13.2">
      <c r="A283" s="19"/>
      <c r="B283" s="20"/>
      <c r="C283" s="20"/>
      <c r="D283" s="21"/>
      <c r="E283" s="20"/>
      <c r="F283" s="20"/>
      <c r="G283" s="22"/>
      <c r="H283" s="22"/>
      <c r="I283" s="20"/>
      <c r="J283" s="20"/>
      <c r="K283" s="20"/>
      <c r="L283" s="22"/>
      <c r="M283" s="22"/>
      <c r="N283" s="22"/>
      <c r="O283" s="22"/>
      <c r="P283" s="22"/>
      <c r="Q283" s="22"/>
      <c r="R283" s="22"/>
      <c r="S283" s="20"/>
      <c r="T283" s="20"/>
      <c r="U283" s="20"/>
      <c r="V283" s="22"/>
      <c r="W283" s="20"/>
      <c r="X283" s="22"/>
      <c r="Y283" s="22"/>
      <c r="Z283" s="22"/>
      <c r="AA283" s="22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19"/>
      <c r="BJ283" s="20"/>
      <c r="BK283" s="20"/>
      <c r="BL283" s="28"/>
      <c r="BM283" s="28"/>
      <c r="BN283" s="29"/>
      <c r="BO283" s="29"/>
      <c r="BP283" s="29"/>
      <c r="BQ283" s="29"/>
      <c r="BR283" s="29"/>
      <c r="BS283" s="29"/>
    </row>
    <row r="284" spans="1:71" ht="13.2">
      <c r="A284" s="19"/>
      <c r="B284" s="20"/>
      <c r="C284" s="20"/>
      <c r="D284" s="21"/>
      <c r="E284" s="20"/>
      <c r="F284" s="20"/>
      <c r="G284" s="22"/>
      <c r="H284" s="22"/>
      <c r="I284" s="20"/>
      <c r="J284" s="20"/>
      <c r="K284" s="20"/>
      <c r="L284" s="22"/>
      <c r="M284" s="22"/>
      <c r="N284" s="22"/>
      <c r="O284" s="22"/>
      <c r="P284" s="22"/>
      <c r="Q284" s="22"/>
      <c r="R284" s="22"/>
      <c r="S284" s="20"/>
      <c r="T284" s="20"/>
      <c r="U284" s="20"/>
      <c r="V284" s="22"/>
      <c r="W284" s="20"/>
      <c r="X284" s="22"/>
      <c r="Y284" s="22"/>
      <c r="Z284" s="22"/>
      <c r="AA284" s="22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19"/>
      <c r="BJ284" s="20"/>
      <c r="BK284" s="20"/>
      <c r="BL284" s="28"/>
      <c r="BM284" s="28"/>
      <c r="BN284" s="29"/>
      <c r="BO284" s="29"/>
      <c r="BP284" s="29"/>
      <c r="BQ284" s="29"/>
      <c r="BR284" s="29"/>
      <c r="BS284" s="29"/>
    </row>
    <row r="285" spans="1:71" ht="13.2">
      <c r="A285" s="19"/>
      <c r="B285" s="20"/>
      <c r="C285" s="20"/>
      <c r="D285" s="21"/>
      <c r="E285" s="20"/>
      <c r="F285" s="20"/>
      <c r="G285" s="22"/>
      <c r="H285" s="22"/>
      <c r="I285" s="20"/>
      <c r="J285" s="20"/>
      <c r="K285" s="20"/>
      <c r="L285" s="22"/>
      <c r="M285" s="22"/>
      <c r="N285" s="22"/>
      <c r="O285" s="22"/>
      <c r="P285" s="22"/>
      <c r="Q285" s="22"/>
      <c r="R285" s="22"/>
      <c r="S285" s="20"/>
      <c r="T285" s="20"/>
      <c r="U285" s="20"/>
      <c r="V285" s="22"/>
      <c r="W285" s="20"/>
      <c r="X285" s="22"/>
      <c r="Y285" s="22"/>
      <c r="Z285" s="22"/>
      <c r="AA285" s="22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19"/>
      <c r="BJ285" s="20"/>
      <c r="BK285" s="20"/>
      <c r="BL285" s="28"/>
      <c r="BM285" s="28"/>
      <c r="BN285" s="29"/>
      <c r="BO285" s="29"/>
      <c r="BP285" s="29"/>
      <c r="BQ285" s="29"/>
      <c r="BR285" s="29"/>
      <c r="BS285" s="29"/>
    </row>
    <row r="286" spans="1:71" ht="13.2">
      <c r="A286" s="19"/>
      <c r="B286" s="20"/>
      <c r="C286" s="20"/>
      <c r="D286" s="21"/>
      <c r="E286" s="20"/>
      <c r="F286" s="20"/>
      <c r="G286" s="22"/>
      <c r="H286" s="22"/>
      <c r="I286" s="20"/>
      <c r="J286" s="20"/>
      <c r="K286" s="20"/>
      <c r="L286" s="22"/>
      <c r="M286" s="22"/>
      <c r="N286" s="22"/>
      <c r="O286" s="22"/>
      <c r="P286" s="22"/>
      <c r="Q286" s="22"/>
      <c r="R286" s="22"/>
      <c r="S286" s="20"/>
      <c r="T286" s="20"/>
      <c r="U286" s="20"/>
      <c r="V286" s="22"/>
      <c r="W286" s="20"/>
      <c r="X286" s="22"/>
      <c r="Y286" s="22"/>
      <c r="Z286" s="22"/>
      <c r="AA286" s="22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19"/>
      <c r="BJ286" s="20"/>
      <c r="BK286" s="20"/>
      <c r="BL286" s="28"/>
      <c r="BM286" s="28"/>
      <c r="BN286" s="29"/>
      <c r="BO286" s="29"/>
      <c r="BP286" s="29"/>
      <c r="BQ286" s="29"/>
      <c r="BR286" s="29"/>
      <c r="BS286" s="29"/>
    </row>
    <row r="287" spans="1:71" ht="13.2">
      <c r="A287" s="19"/>
      <c r="B287" s="20"/>
      <c r="C287" s="20"/>
      <c r="D287" s="21"/>
      <c r="E287" s="20"/>
      <c r="F287" s="20"/>
      <c r="G287" s="22"/>
      <c r="H287" s="22"/>
      <c r="I287" s="20"/>
      <c r="J287" s="20"/>
      <c r="K287" s="20"/>
      <c r="L287" s="22"/>
      <c r="M287" s="22"/>
      <c r="N287" s="22"/>
      <c r="O287" s="22"/>
      <c r="P287" s="22"/>
      <c r="Q287" s="22"/>
      <c r="R287" s="22"/>
      <c r="S287" s="20"/>
      <c r="T287" s="20"/>
      <c r="U287" s="20"/>
      <c r="V287" s="22"/>
      <c r="W287" s="20"/>
      <c r="X287" s="22"/>
      <c r="Y287" s="22"/>
      <c r="Z287" s="22"/>
      <c r="AA287" s="22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19"/>
      <c r="BJ287" s="20"/>
      <c r="BK287" s="20"/>
      <c r="BL287" s="28"/>
      <c r="BM287" s="28"/>
      <c r="BN287" s="29"/>
      <c r="BO287" s="29"/>
      <c r="BP287" s="29"/>
      <c r="BQ287" s="29"/>
      <c r="BR287" s="29"/>
      <c r="BS287" s="29"/>
    </row>
    <row r="288" spans="1:71" ht="13.2">
      <c r="A288" s="19"/>
      <c r="B288" s="20"/>
      <c r="C288" s="20"/>
      <c r="D288" s="21"/>
      <c r="E288" s="20"/>
      <c r="F288" s="20"/>
      <c r="G288" s="22"/>
      <c r="H288" s="22"/>
      <c r="I288" s="20"/>
      <c r="J288" s="20"/>
      <c r="K288" s="20"/>
      <c r="L288" s="22"/>
      <c r="M288" s="22"/>
      <c r="N288" s="22"/>
      <c r="O288" s="22"/>
      <c r="P288" s="22"/>
      <c r="Q288" s="22"/>
      <c r="R288" s="22"/>
      <c r="S288" s="20"/>
      <c r="T288" s="20"/>
      <c r="U288" s="20"/>
      <c r="V288" s="22"/>
      <c r="W288" s="20"/>
      <c r="X288" s="22"/>
      <c r="Y288" s="22"/>
      <c r="Z288" s="22"/>
      <c r="AA288" s="22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19"/>
      <c r="BJ288" s="20"/>
      <c r="BK288" s="20"/>
      <c r="BL288" s="28"/>
      <c r="BM288" s="28"/>
      <c r="BN288" s="29"/>
      <c r="BO288" s="29"/>
      <c r="BP288" s="29"/>
      <c r="BQ288" s="29"/>
      <c r="BR288" s="29"/>
      <c r="BS288" s="29"/>
    </row>
    <row r="289" spans="1:71" ht="13.2">
      <c r="A289" s="19"/>
      <c r="B289" s="20"/>
      <c r="C289" s="20"/>
      <c r="D289" s="21"/>
      <c r="E289" s="20"/>
      <c r="F289" s="20"/>
      <c r="G289" s="22"/>
      <c r="H289" s="22"/>
      <c r="I289" s="20"/>
      <c r="J289" s="20"/>
      <c r="K289" s="20"/>
      <c r="L289" s="22"/>
      <c r="M289" s="22"/>
      <c r="N289" s="22"/>
      <c r="O289" s="22"/>
      <c r="P289" s="22"/>
      <c r="Q289" s="22"/>
      <c r="R289" s="22"/>
      <c r="S289" s="20"/>
      <c r="T289" s="20"/>
      <c r="U289" s="20"/>
      <c r="V289" s="22"/>
      <c r="W289" s="20"/>
      <c r="X289" s="22"/>
      <c r="Y289" s="22"/>
      <c r="Z289" s="22"/>
      <c r="AA289" s="22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19"/>
      <c r="BJ289" s="20"/>
      <c r="BK289" s="20"/>
      <c r="BL289" s="28"/>
      <c r="BM289" s="28"/>
      <c r="BN289" s="29"/>
      <c r="BO289" s="29"/>
      <c r="BP289" s="29"/>
      <c r="BQ289" s="29"/>
      <c r="BR289" s="29"/>
      <c r="BS289" s="29"/>
    </row>
    <row r="290" spans="1:71" ht="13.2">
      <c r="A290" s="19"/>
      <c r="B290" s="20"/>
      <c r="C290" s="20"/>
      <c r="D290" s="21"/>
      <c r="E290" s="20"/>
      <c r="F290" s="20"/>
      <c r="G290" s="22"/>
      <c r="H290" s="22"/>
      <c r="I290" s="20"/>
      <c r="J290" s="20"/>
      <c r="K290" s="20"/>
      <c r="L290" s="22"/>
      <c r="M290" s="22"/>
      <c r="N290" s="22"/>
      <c r="O290" s="22"/>
      <c r="P290" s="22"/>
      <c r="Q290" s="22"/>
      <c r="R290" s="22"/>
      <c r="S290" s="20"/>
      <c r="T290" s="20"/>
      <c r="U290" s="20"/>
      <c r="V290" s="22"/>
      <c r="W290" s="20"/>
      <c r="X290" s="22"/>
      <c r="Y290" s="22"/>
      <c r="Z290" s="22"/>
      <c r="AA290" s="22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19"/>
      <c r="BJ290" s="20"/>
      <c r="BK290" s="20"/>
      <c r="BL290" s="28"/>
      <c r="BM290" s="28"/>
      <c r="BN290" s="29"/>
      <c r="BO290" s="29"/>
      <c r="BP290" s="29"/>
      <c r="BQ290" s="29"/>
      <c r="BR290" s="29"/>
      <c r="BS290" s="29"/>
    </row>
    <row r="291" spans="1:71" ht="13.2">
      <c r="A291" s="19"/>
      <c r="B291" s="20"/>
      <c r="C291" s="20"/>
      <c r="D291" s="21"/>
      <c r="E291" s="20"/>
      <c r="F291" s="20"/>
      <c r="G291" s="22"/>
      <c r="H291" s="22"/>
      <c r="I291" s="20"/>
      <c r="J291" s="20"/>
      <c r="K291" s="20"/>
      <c r="L291" s="22"/>
      <c r="M291" s="22"/>
      <c r="N291" s="22"/>
      <c r="O291" s="22"/>
      <c r="P291" s="22"/>
      <c r="Q291" s="22"/>
      <c r="R291" s="22"/>
      <c r="S291" s="20"/>
      <c r="T291" s="20"/>
      <c r="U291" s="20"/>
      <c r="V291" s="22"/>
      <c r="W291" s="20"/>
      <c r="X291" s="22"/>
      <c r="Y291" s="22"/>
      <c r="Z291" s="22"/>
      <c r="AA291" s="22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19"/>
      <c r="BJ291" s="20"/>
      <c r="BK291" s="20"/>
      <c r="BL291" s="28"/>
      <c r="BM291" s="28"/>
      <c r="BN291" s="29"/>
      <c r="BO291" s="29"/>
      <c r="BP291" s="29"/>
      <c r="BQ291" s="29"/>
      <c r="BR291" s="29"/>
      <c r="BS291" s="29"/>
    </row>
    <row r="292" spans="1:71" ht="13.2">
      <c r="A292" s="19"/>
      <c r="B292" s="20"/>
      <c r="C292" s="20"/>
      <c r="D292" s="21"/>
      <c r="E292" s="20"/>
      <c r="F292" s="20"/>
      <c r="G292" s="22"/>
      <c r="H292" s="22"/>
      <c r="I292" s="20"/>
      <c r="J292" s="20"/>
      <c r="K292" s="20"/>
      <c r="L292" s="22"/>
      <c r="M292" s="22"/>
      <c r="N292" s="22"/>
      <c r="O292" s="22"/>
      <c r="P292" s="22"/>
      <c r="Q292" s="22"/>
      <c r="R292" s="22"/>
      <c r="S292" s="20"/>
      <c r="T292" s="20"/>
      <c r="U292" s="20"/>
      <c r="V292" s="22"/>
      <c r="W292" s="20"/>
      <c r="X292" s="22"/>
      <c r="Y292" s="22"/>
      <c r="Z292" s="22"/>
      <c r="AA292" s="22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19"/>
      <c r="BJ292" s="20"/>
      <c r="BK292" s="20"/>
      <c r="BL292" s="28"/>
      <c r="BM292" s="28"/>
      <c r="BN292" s="29"/>
      <c r="BO292" s="29"/>
      <c r="BP292" s="29"/>
      <c r="BQ292" s="29"/>
      <c r="BR292" s="29"/>
      <c r="BS292" s="29"/>
    </row>
    <row r="293" spans="1:71" ht="13.2">
      <c r="A293" s="19"/>
      <c r="B293" s="20"/>
      <c r="C293" s="20"/>
      <c r="D293" s="21"/>
      <c r="E293" s="20"/>
      <c r="F293" s="20"/>
      <c r="G293" s="22"/>
      <c r="H293" s="22"/>
      <c r="I293" s="20"/>
      <c r="J293" s="20"/>
      <c r="K293" s="20"/>
      <c r="L293" s="22"/>
      <c r="M293" s="22"/>
      <c r="N293" s="22"/>
      <c r="O293" s="22"/>
      <c r="P293" s="22"/>
      <c r="Q293" s="22"/>
      <c r="R293" s="22"/>
      <c r="S293" s="20"/>
      <c r="T293" s="20"/>
      <c r="U293" s="20"/>
      <c r="V293" s="22"/>
      <c r="W293" s="20"/>
      <c r="X293" s="22"/>
      <c r="Y293" s="22"/>
      <c r="Z293" s="22"/>
      <c r="AA293" s="22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19"/>
      <c r="BJ293" s="20"/>
      <c r="BK293" s="20"/>
      <c r="BL293" s="28"/>
      <c r="BM293" s="28"/>
      <c r="BN293" s="29"/>
      <c r="BO293" s="29"/>
      <c r="BP293" s="29"/>
      <c r="BQ293" s="29"/>
      <c r="BR293" s="29"/>
      <c r="BS293" s="29"/>
    </row>
    <row r="294" spans="1:71" ht="13.2">
      <c r="A294" s="19"/>
      <c r="B294" s="20"/>
      <c r="C294" s="20"/>
      <c r="D294" s="21"/>
      <c r="E294" s="20"/>
      <c r="F294" s="20"/>
      <c r="G294" s="22"/>
      <c r="H294" s="22"/>
      <c r="I294" s="20"/>
      <c r="J294" s="20"/>
      <c r="K294" s="20"/>
      <c r="L294" s="22"/>
      <c r="M294" s="22"/>
      <c r="N294" s="22"/>
      <c r="O294" s="22"/>
      <c r="P294" s="22"/>
      <c r="Q294" s="22"/>
      <c r="R294" s="22"/>
      <c r="S294" s="20"/>
      <c r="T294" s="20"/>
      <c r="U294" s="20"/>
      <c r="V294" s="22"/>
      <c r="W294" s="20"/>
      <c r="X294" s="22"/>
      <c r="Y294" s="22"/>
      <c r="Z294" s="22"/>
      <c r="AA294" s="22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19"/>
      <c r="BJ294" s="20"/>
      <c r="BK294" s="20"/>
      <c r="BL294" s="28"/>
      <c r="BM294" s="28"/>
      <c r="BN294" s="29"/>
      <c r="BO294" s="29"/>
      <c r="BP294" s="29"/>
      <c r="BQ294" s="29"/>
      <c r="BR294" s="29"/>
      <c r="BS294" s="29"/>
    </row>
    <row r="295" spans="1:71" ht="13.2">
      <c r="A295" s="19"/>
      <c r="B295" s="20"/>
      <c r="C295" s="20"/>
      <c r="D295" s="21"/>
      <c r="E295" s="20"/>
      <c r="F295" s="20"/>
      <c r="G295" s="22"/>
      <c r="H295" s="22"/>
      <c r="I295" s="20"/>
      <c r="J295" s="20"/>
      <c r="K295" s="20"/>
      <c r="L295" s="22"/>
      <c r="M295" s="22"/>
      <c r="N295" s="22"/>
      <c r="O295" s="22"/>
      <c r="P295" s="22"/>
      <c r="Q295" s="22"/>
      <c r="R295" s="22"/>
      <c r="S295" s="20"/>
      <c r="T295" s="20"/>
      <c r="U295" s="20"/>
      <c r="V295" s="22"/>
      <c r="W295" s="20"/>
      <c r="X295" s="22"/>
      <c r="Y295" s="22"/>
      <c r="Z295" s="22"/>
      <c r="AA295" s="22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19"/>
      <c r="BJ295" s="20"/>
      <c r="BK295" s="20"/>
      <c r="BL295" s="28"/>
      <c r="BM295" s="28"/>
      <c r="BN295" s="29"/>
      <c r="BO295" s="29"/>
      <c r="BP295" s="29"/>
      <c r="BQ295" s="29"/>
      <c r="BR295" s="29"/>
      <c r="BS295" s="29"/>
    </row>
    <row r="296" spans="1:71" ht="13.2">
      <c r="A296" s="19"/>
      <c r="B296" s="20"/>
      <c r="C296" s="20"/>
      <c r="D296" s="21"/>
      <c r="E296" s="20"/>
      <c r="F296" s="20"/>
      <c r="G296" s="22"/>
      <c r="H296" s="22"/>
      <c r="I296" s="20"/>
      <c r="J296" s="20"/>
      <c r="K296" s="20"/>
      <c r="L296" s="22"/>
      <c r="M296" s="22"/>
      <c r="N296" s="22"/>
      <c r="O296" s="22"/>
      <c r="P296" s="22"/>
      <c r="Q296" s="22"/>
      <c r="R296" s="22"/>
      <c r="S296" s="20"/>
      <c r="T296" s="20"/>
      <c r="U296" s="20"/>
      <c r="V296" s="22"/>
      <c r="W296" s="20"/>
      <c r="X296" s="22"/>
      <c r="Y296" s="22"/>
      <c r="Z296" s="22"/>
      <c r="AA296" s="22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19"/>
      <c r="BJ296" s="20"/>
      <c r="BK296" s="20"/>
      <c r="BL296" s="28"/>
      <c r="BM296" s="28"/>
      <c r="BN296" s="29"/>
      <c r="BO296" s="29"/>
      <c r="BP296" s="29"/>
      <c r="BQ296" s="29"/>
      <c r="BR296" s="29"/>
      <c r="BS296" s="29"/>
    </row>
    <row r="297" spans="1:71" ht="13.2">
      <c r="A297" s="19"/>
      <c r="B297" s="20"/>
      <c r="C297" s="20"/>
      <c r="D297" s="21"/>
      <c r="E297" s="20"/>
      <c r="F297" s="20"/>
      <c r="G297" s="22"/>
      <c r="H297" s="22"/>
      <c r="I297" s="20"/>
      <c r="J297" s="20"/>
      <c r="K297" s="20"/>
      <c r="L297" s="22"/>
      <c r="M297" s="22"/>
      <c r="N297" s="22"/>
      <c r="O297" s="22"/>
      <c r="P297" s="22"/>
      <c r="Q297" s="22"/>
      <c r="R297" s="22"/>
      <c r="S297" s="20"/>
      <c r="T297" s="20"/>
      <c r="U297" s="20"/>
      <c r="V297" s="22"/>
      <c r="W297" s="20"/>
      <c r="X297" s="22"/>
      <c r="Y297" s="22"/>
      <c r="Z297" s="22"/>
      <c r="AA297" s="22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19"/>
      <c r="BJ297" s="20"/>
      <c r="BK297" s="20"/>
      <c r="BL297" s="28"/>
      <c r="BM297" s="28"/>
      <c r="BN297" s="29"/>
      <c r="BO297" s="29"/>
      <c r="BP297" s="29"/>
      <c r="BQ297" s="29"/>
      <c r="BR297" s="29"/>
      <c r="BS297" s="29"/>
    </row>
    <row r="298" spans="1:71" ht="13.2">
      <c r="A298" s="19"/>
      <c r="B298" s="20"/>
      <c r="C298" s="20"/>
      <c r="D298" s="21"/>
      <c r="E298" s="20"/>
      <c r="F298" s="20"/>
      <c r="G298" s="22"/>
      <c r="H298" s="22"/>
      <c r="I298" s="20"/>
      <c r="J298" s="20"/>
      <c r="K298" s="20"/>
      <c r="L298" s="22"/>
      <c r="M298" s="22"/>
      <c r="N298" s="22"/>
      <c r="O298" s="22"/>
      <c r="P298" s="22"/>
      <c r="Q298" s="22"/>
      <c r="R298" s="22"/>
      <c r="S298" s="20"/>
      <c r="T298" s="20"/>
      <c r="U298" s="20"/>
      <c r="V298" s="22"/>
      <c r="W298" s="20"/>
      <c r="X298" s="22"/>
      <c r="Y298" s="22"/>
      <c r="Z298" s="22"/>
      <c r="AA298" s="22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19"/>
      <c r="BJ298" s="20"/>
      <c r="BK298" s="20"/>
      <c r="BL298" s="28"/>
      <c r="BM298" s="28"/>
      <c r="BN298" s="29"/>
      <c r="BO298" s="29"/>
      <c r="BP298" s="29"/>
      <c r="BQ298" s="29"/>
      <c r="BR298" s="29"/>
      <c r="BS298" s="29"/>
    </row>
    <row r="299" spans="1:71" ht="13.2">
      <c r="A299" s="19"/>
      <c r="B299" s="20"/>
      <c r="C299" s="20"/>
      <c r="D299" s="21"/>
      <c r="E299" s="20"/>
      <c r="F299" s="20"/>
      <c r="G299" s="22"/>
      <c r="H299" s="22"/>
      <c r="I299" s="20"/>
      <c r="J299" s="20"/>
      <c r="K299" s="20"/>
      <c r="L299" s="22"/>
      <c r="M299" s="22"/>
      <c r="N299" s="22"/>
      <c r="O299" s="22"/>
      <c r="P299" s="22"/>
      <c r="Q299" s="22"/>
      <c r="R299" s="22"/>
      <c r="S299" s="20"/>
      <c r="T299" s="20"/>
      <c r="U299" s="20"/>
      <c r="V299" s="22"/>
      <c r="W299" s="20"/>
      <c r="X299" s="22"/>
      <c r="Y299" s="22"/>
      <c r="Z299" s="22"/>
      <c r="AA299" s="22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19"/>
      <c r="BJ299" s="20"/>
      <c r="BK299" s="20"/>
      <c r="BL299" s="28"/>
      <c r="BM299" s="28"/>
      <c r="BN299" s="29"/>
      <c r="BO299" s="29"/>
      <c r="BP299" s="29"/>
      <c r="BQ299" s="29"/>
      <c r="BR299" s="29"/>
      <c r="BS299" s="29"/>
    </row>
    <row r="300" spans="1:71" ht="13.2">
      <c r="A300" s="19"/>
      <c r="B300" s="20"/>
      <c r="C300" s="20"/>
      <c r="D300" s="21"/>
      <c r="E300" s="20"/>
      <c r="F300" s="20"/>
      <c r="G300" s="22"/>
      <c r="H300" s="22"/>
      <c r="I300" s="20"/>
      <c r="J300" s="20"/>
      <c r="K300" s="20"/>
      <c r="L300" s="22"/>
      <c r="M300" s="22"/>
      <c r="N300" s="22"/>
      <c r="O300" s="22"/>
      <c r="P300" s="22"/>
      <c r="Q300" s="22"/>
      <c r="R300" s="22"/>
      <c r="S300" s="20"/>
      <c r="T300" s="20"/>
      <c r="U300" s="20"/>
      <c r="V300" s="22"/>
      <c r="W300" s="20"/>
      <c r="X300" s="22"/>
      <c r="Y300" s="22"/>
      <c r="Z300" s="22"/>
      <c r="AA300" s="22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19"/>
      <c r="BJ300" s="20"/>
      <c r="BK300" s="20"/>
      <c r="BL300" s="28"/>
      <c r="BM300" s="28"/>
      <c r="BN300" s="29"/>
      <c r="BO300" s="29"/>
      <c r="BP300" s="29"/>
      <c r="BQ300" s="29"/>
      <c r="BR300" s="29"/>
      <c r="BS300" s="29"/>
    </row>
    <row r="301" spans="1:71" ht="13.2">
      <c r="A301" s="19"/>
      <c r="B301" s="20"/>
      <c r="C301" s="20"/>
      <c r="D301" s="21"/>
      <c r="E301" s="20"/>
      <c r="F301" s="20"/>
      <c r="G301" s="22"/>
      <c r="H301" s="22"/>
      <c r="I301" s="20"/>
      <c r="J301" s="20"/>
      <c r="K301" s="20"/>
      <c r="L301" s="22"/>
      <c r="M301" s="22"/>
      <c r="N301" s="22"/>
      <c r="O301" s="22"/>
      <c r="P301" s="22"/>
      <c r="Q301" s="22"/>
      <c r="R301" s="22"/>
      <c r="S301" s="20"/>
      <c r="T301" s="20"/>
      <c r="U301" s="20"/>
      <c r="V301" s="22"/>
      <c r="W301" s="20"/>
      <c r="X301" s="22"/>
      <c r="Y301" s="22"/>
      <c r="Z301" s="22"/>
      <c r="AA301" s="22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19"/>
      <c r="BJ301" s="20"/>
      <c r="BK301" s="20"/>
      <c r="BL301" s="28"/>
      <c r="BM301" s="28"/>
      <c r="BN301" s="29"/>
      <c r="BO301" s="29"/>
      <c r="BP301" s="29"/>
      <c r="BQ301" s="29"/>
      <c r="BR301" s="29"/>
      <c r="BS301" s="29"/>
    </row>
    <row r="302" spans="1:71" ht="13.2">
      <c r="A302" s="19"/>
      <c r="B302" s="20"/>
      <c r="C302" s="20"/>
      <c r="D302" s="21"/>
      <c r="E302" s="20"/>
      <c r="F302" s="20"/>
      <c r="G302" s="22"/>
      <c r="H302" s="22"/>
      <c r="I302" s="20"/>
      <c r="J302" s="20"/>
      <c r="K302" s="20"/>
      <c r="L302" s="22"/>
      <c r="M302" s="22"/>
      <c r="N302" s="22"/>
      <c r="O302" s="22"/>
      <c r="P302" s="22"/>
      <c r="Q302" s="22"/>
      <c r="R302" s="22"/>
      <c r="S302" s="20"/>
      <c r="T302" s="20"/>
      <c r="U302" s="20"/>
      <c r="V302" s="22"/>
      <c r="W302" s="20"/>
      <c r="X302" s="22"/>
      <c r="Y302" s="22"/>
      <c r="Z302" s="22"/>
      <c r="AA302" s="22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19"/>
      <c r="BJ302" s="20"/>
      <c r="BK302" s="20"/>
      <c r="BL302" s="28"/>
      <c r="BM302" s="28"/>
      <c r="BN302" s="29"/>
      <c r="BO302" s="29"/>
      <c r="BP302" s="29"/>
      <c r="BQ302" s="29"/>
      <c r="BR302" s="29"/>
      <c r="BS302" s="29"/>
    </row>
    <row r="303" spans="1:71" ht="13.2">
      <c r="A303" s="19"/>
      <c r="B303" s="20"/>
      <c r="C303" s="20"/>
      <c r="D303" s="21"/>
      <c r="E303" s="20"/>
      <c r="F303" s="20"/>
      <c r="G303" s="22"/>
      <c r="H303" s="22"/>
      <c r="I303" s="20"/>
      <c r="J303" s="20"/>
      <c r="K303" s="20"/>
      <c r="L303" s="22"/>
      <c r="M303" s="22"/>
      <c r="N303" s="22"/>
      <c r="O303" s="22"/>
      <c r="P303" s="22"/>
      <c r="Q303" s="22"/>
      <c r="R303" s="22"/>
      <c r="S303" s="20"/>
      <c r="T303" s="20"/>
      <c r="U303" s="20"/>
      <c r="V303" s="22"/>
      <c r="W303" s="20"/>
      <c r="X303" s="22"/>
      <c r="Y303" s="22"/>
      <c r="Z303" s="22"/>
      <c r="AA303" s="22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19"/>
      <c r="BJ303" s="20"/>
      <c r="BK303" s="20"/>
      <c r="BL303" s="28"/>
      <c r="BM303" s="28"/>
      <c r="BN303" s="29"/>
      <c r="BO303" s="29"/>
      <c r="BP303" s="29"/>
      <c r="BQ303" s="29"/>
      <c r="BR303" s="29"/>
      <c r="BS303" s="29"/>
    </row>
    <row r="304" spans="1:71" ht="13.2">
      <c r="A304" s="19"/>
      <c r="B304" s="20"/>
      <c r="C304" s="20"/>
      <c r="D304" s="21"/>
      <c r="E304" s="20"/>
      <c r="F304" s="20"/>
      <c r="G304" s="22"/>
      <c r="H304" s="22"/>
      <c r="I304" s="20"/>
      <c r="J304" s="20"/>
      <c r="K304" s="20"/>
      <c r="L304" s="22"/>
      <c r="M304" s="22"/>
      <c r="N304" s="22"/>
      <c r="O304" s="22"/>
      <c r="P304" s="22"/>
      <c r="Q304" s="22"/>
      <c r="R304" s="22"/>
      <c r="S304" s="20"/>
      <c r="T304" s="20"/>
      <c r="U304" s="20"/>
      <c r="V304" s="22"/>
      <c r="W304" s="20"/>
      <c r="X304" s="22"/>
      <c r="Y304" s="22"/>
      <c r="Z304" s="22"/>
      <c r="AA304" s="22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19"/>
      <c r="BJ304" s="20"/>
      <c r="BK304" s="20"/>
      <c r="BL304" s="28"/>
      <c r="BM304" s="28"/>
      <c r="BN304" s="29"/>
      <c r="BO304" s="29"/>
      <c r="BP304" s="29"/>
      <c r="BQ304" s="29"/>
      <c r="BR304" s="29"/>
      <c r="BS304" s="29"/>
    </row>
    <row r="305" spans="1:71" ht="13.2">
      <c r="A305" s="19"/>
      <c r="B305" s="20"/>
      <c r="C305" s="20"/>
      <c r="D305" s="21"/>
      <c r="E305" s="20"/>
      <c r="F305" s="20"/>
      <c r="G305" s="22"/>
      <c r="H305" s="22"/>
      <c r="I305" s="20"/>
      <c r="J305" s="20"/>
      <c r="K305" s="20"/>
      <c r="L305" s="22"/>
      <c r="M305" s="22"/>
      <c r="N305" s="22"/>
      <c r="O305" s="22"/>
      <c r="P305" s="22"/>
      <c r="Q305" s="22"/>
      <c r="R305" s="22"/>
      <c r="S305" s="20"/>
      <c r="T305" s="20"/>
      <c r="U305" s="20"/>
      <c r="V305" s="22"/>
      <c r="W305" s="20"/>
      <c r="X305" s="22"/>
      <c r="Y305" s="22"/>
      <c r="Z305" s="22"/>
      <c r="AA305" s="22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19"/>
      <c r="BJ305" s="20"/>
      <c r="BK305" s="20"/>
      <c r="BL305" s="28"/>
      <c r="BM305" s="28"/>
      <c r="BN305" s="29"/>
      <c r="BO305" s="29"/>
      <c r="BP305" s="29"/>
      <c r="BQ305" s="29"/>
      <c r="BR305" s="29"/>
      <c r="BS305" s="29"/>
    </row>
    <row r="306" spans="1:71" ht="13.2">
      <c r="A306" s="19"/>
      <c r="B306" s="20"/>
      <c r="C306" s="20"/>
      <c r="D306" s="21"/>
      <c r="E306" s="20"/>
      <c r="F306" s="20"/>
      <c r="G306" s="22"/>
      <c r="H306" s="22"/>
      <c r="I306" s="20"/>
      <c r="J306" s="20"/>
      <c r="K306" s="20"/>
      <c r="L306" s="22"/>
      <c r="M306" s="22"/>
      <c r="N306" s="22"/>
      <c r="O306" s="22"/>
      <c r="P306" s="22"/>
      <c r="Q306" s="22"/>
      <c r="R306" s="22"/>
      <c r="S306" s="20"/>
      <c r="T306" s="20"/>
      <c r="U306" s="20"/>
      <c r="V306" s="22"/>
      <c r="W306" s="20"/>
      <c r="X306" s="22"/>
      <c r="Y306" s="22"/>
      <c r="Z306" s="22"/>
      <c r="AA306" s="22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19"/>
      <c r="BJ306" s="20"/>
      <c r="BK306" s="20"/>
      <c r="BL306" s="28"/>
      <c r="BM306" s="28"/>
      <c r="BN306" s="29"/>
      <c r="BO306" s="29"/>
      <c r="BP306" s="29"/>
      <c r="BQ306" s="29"/>
      <c r="BR306" s="29"/>
      <c r="BS306" s="29"/>
    </row>
    <row r="307" spans="1:71" ht="13.2">
      <c r="A307" s="19"/>
      <c r="B307" s="20"/>
      <c r="C307" s="20"/>
      <c r="D307" s="21"/>
      <c r="E307" s="20"/>
      <c r="F307" s="20"/>
      <c r="G307" s="22"/>
      <c r="H307" s="22"/>
      <c r="I307" s="20"/>
      <c r="J307" s="20"/>
      <c r="K307" s="20"/>
      <c r="L307" s="22"/>
      <c r="M307" s="22"/>
      <c r="N307" s="22"/>
      <c r="O307" s="22"/>
      <c r="P307" s="22"/>
      <c r="Q307" s="22"/>
      <c r="R307" s="22"/>
      <c r="S307" s="20"/>
      <c r="T307" s="20"/>
      <c r="U307" s="20"/>
      <c r="V307" s="22"/>
      <c r="W307" s="20"/>
      <c r="X307" s="22"/>
      <c r="Y307" s="22"/>
      <c r="Z307" s="22"/>
      <c r="AA307" s="22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19"/>
      <c r="BJ307" s="20"/>
      <c r="BK307" s="20"/>
      <c r="BL307" s="28"/>
      <c r="BM307" s="28"/>
      <c r="BN307" s="29"/>
      <c r="BO307" s="29"/>
      <c r="BP307" s="29"/>
      <c r="BQ307" s="29"/>
      <c r="BR307" s="29"/>
      <c r="BS307" s="29"/>
    </row>
    <row r="308" spans="1:71" ht="13.2">
      <c r="A308" s="19"/>
      <c r="B308" s="20"/>
      <c r="C308" s="20"/>
      <c r="D308" s="21"/>
      <c r="E308" s="20"/>
      <c r="F308" s="20"/>
      <c r="G308" s="22"/>
      <c r="H308" s="22"/>
      <c r="I308" s="20"/>
      <c r="J308" s="20"/>
      <c r="K308" s="20"/>
      <c r="L308" s="22"/>
      <c r="M308" s="22"/>
      <c r="N308" s="22"/>
      <c r="O308" s="22"/>
      <c r="P308" s="22"/>
      <c r="Q308" s="22"/>
      <c r="R308" s="22"/>
      <c r="S308" s="20"/>
      <c r="T308" s="20"/>
      <c r="U308" s="20"/>
      <c r="V308" s="22"/>
      <c r="W308" s="20"/>
      <c r="X308" s="22"/>
      <c r="Y308" s="22"/>
      <c r="Z308" s="22"/>
      <c r="AA308" s="22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19"/>
      <c r="BJ308" s="20"/>
      <c r="BK308" s="20"/>
      <c r="BL308" s="28"/>
      <c r="BM308" s="28"/>
      <c r="BN308" s="29"/>
      <c r="BO308" s="29"/>
      <c r="BP308" s="29"/>
      <c r="BQ308" s="29"/>
      <c r="BR308" s="29"/>
      <c r="BS308" s="29"/>
    </row>
    <row r="309" spans="1:71" ht="13.2">
      <c r="A309" s="19"/>
      <c r="B309" s="20"/>
      <c r="C309" s="20"/>
      <c r="D309" s="21"/>
      <c r="E309" s="20"/>
      <c r="F309" s="20"/>
      <c r="G309" s="22"/>
      <c r="H309" s="22"/>
      <c r="I309" s="20"/>
      <c r="J309" s="20"/>
      <c r="K309" s="20"/>
      <c r="L309" s="22"/>
      <c r="M309" s="22"/>
      <c r="N309" s="22"/>
      <c r="O309" s="22"/>
      <c r="P309" s="22"/>
      <c r="Q309" s="22"/>
      <c r="R309" s="22"/>
      <c r="S309" s="20"/>
      <c r="T309" s="20"/>
      <c r="U309" s="20"/>
      <c r="V309" s="22"/>
      <c r="W309" s="20"/>
      <c r="X309" s="22"/>
      <c r="Y309" s="22"/>
      <c r="Z309" s="22"/>
      <c r="AA309" s="22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19"/>
      <c r="BJ309" s="20"/>
      <c r="BK309" s="20"/>
      <c r="BL309" s="28"/>
      <c r="BM309" s="28"/>
      <c r="BN309" s="29"/>
      <c r="BO309" s="29"/>
      <c r="BP309" s="29"/>
      <c r="BQ309" s="29"/>
      <c r="BR309" s="29"/>
      <c r="BS309" s="29"/>
    </row>
    <row r="310" spans="1:71" ht="13.2">
      <c r="A310" s="19"/>
      <c r="B310" s="20"/>
      <c r="C310" s="20"/>
      <c r="D310" s="21"/>
      <c r="E310" s="20"/>
      <c r="F310" s="20"/>
      <c r="G310" s="22"/>
      <c r="H310" s="22"/>
      <c r="I310" s="20"/>
      <c r="J310" s="20"/>
      <c r="K310" s="20"/>
      <c r="L310" s="22"/>
      <c r="M310" s="22"/>
      <c r="N310" s="22"/>
      <c r="O310" s="22"/>
      <c r="P310" s="22"/>
      <c r="Q310" s="22"/>
      <c r="R310" s="22"/>
      <c r="S310" s="20"/>
      <c r="T310" s="20"/>
      <c r="U310" s="20"/>
      <c r="V310" s="22"/>
      <c r="W310" s="20"/>
      <c r="X310" s="22"/>
      <c r="Y310" s="22"/>
      <c r="Z310" s="22"/>
      <c r="AA310" s="22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19"/>
      <c r="BJ310" s="20"/>
      <c r="BK310" s="20"/>
      <c r="BL310" s="28"/>
      <c r="BM310" s="28"/>
      <c r="BN310" s="29"/>
      <c r="BO310" s="29"/>
      <c r="BP310" s="29"/>
      <c r="BQ310" s="29"/>
      <c r="BR310" s="29"/>
      <c r="BS310" s="29"/>
    </row>
    <row r="311" spans="1:71" ht="13.2">
      <c r="A311" s="19"/>
      <c r="B311" s="20"/>
      <c r="C311" s="20"/>
      <c r="D311" s="21"/>
      <c r="E311" s="20"/>
      <c r="F311" s="20"/>
      <c r="G311" s="22"/>
      <c r="H311" s="22"/>
      <c r="I311" s="20"/>
      <c r="J311" s="20"/>
      <c r="K311" s="20"/>
      <c r="L311" s="22"/>
      <c r="M311" s="22"/>
      <c r="N311" s="22"/>
      <c r="O311" s="22"/>
      <c r="P311" s="22"/>
      <c r="Q311" s="22"/>
      <c r="R311" s="22"/>
      <c r="S311" s="20"/>
      <c r="T311" s="20"/>
      <c r="U311" s="20"/>
      <c r="V311" s="22"/>
      <c r="W311" s="20"/>
      <c r="X311" s="22"/>
      <c r="Y311" s="22"/>
      <c r="Z311" s="22"/>
      <c r="AA311" s="22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19"/>
      <c r="BJ311" s="20"/>
      <c r="BK311" s="20"/>
      <c r="BL311" s="28"/>
      <c r="BM311" s="28"/>
      <c r="BN311" s="29"/>
      <c r="BO311" s="29"/>
      <c r="BP311" s="29"/>
      <c r="BQ311" s="29"/>
      <c r="BR311" s="29"/>
      <c r="BS311" s="29"/>
    </row>
    <row r="312" spans="1:71" ht="13.2">
      <c r="A312" s="19"/>
      <c r="B312" s="20"/>
      <c r="C312" s="20"/>
      <c r="D312" s="21"/>
      <c r="E312" s="20"/>
      <c r="F312" s="20"/>
      <c r="G312" s="22"/>
      <c r="H312" s="22"/>
      <c r="I312" s="20"/>
      <c r="J312" s="20"/>
      <c r="K312" s="20"/>
      <c r="L312" s="22"/>
      <c r="M312" s="22"/>
      <c r="N312" s="22"/>
      <c r="O312" s="22"/>
      <c r="P312" s="22"/>
      <c r="Q312" s="22"/>
      <c r="R312" s="22"/>
      <c r="S312" s="20"/>
      <c r="T312" s="20"/>
      <c r="U312" s="20"/>
      <c r="V312" s="22"/>
      <c r="W312" s="20"/>
      <c r="X312" s="22"/>
      <c r="Y312" s="22"/>
      <c r="Z312" s="22"/>
      <c r="AA312" s="22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19"/>
      <c r="BJ312" s="20"/>
      <c r="BK312" s="20"/>
      <c r="BL312" s="28"/>
      <c r="BM312" s="28"/>
      <c r="BN312" s="29"/>
      <c r="BO312" s="29"/>
      <c r="BP312" s="29"/>
      <c r="BQ312" s="29"/>
      <c r="BR312" s="29"/>
      <c r="BS312" s="29"/>
    </row>
    <row r="313" spans="1:71" ht="13.2">
      <c r="A313" s="19"/>
      <c r="B313" s="20"/>
      <c r="C313" s="20"/>
      <c r="D313" s="21"/>
      <c r="E313" s="20"/>
      <c r="F313" s="20"/>
      <c r="G313" s="22"/>
      <c r="H313" s="22"/>
      <c r="I313" s="20"/>
      <c r="J313" s="20"/>
      <c r="K313" s="20"/>
      <c r="L313" s="22"/>
      <c r="M313" s="22"/>
      <c r="N313" s="22"/>
      <c r="O313" s="22"/>
      <c r="P313" s="22"/>
      <c r="Q313" s="22"/>
      <c r="R313" s="22"/>
      <c r="S313" s="20"/>
      <c r="T313" s="20"/>
      <c r="U313" s="20"/>
      <c r="V313" s="22"/>
      <c r="W313" s="20"/>
      <c r="X313" s="22"/>
      <c r="Y313" s="22"/>
      <c r="Z313" s="22"/>
      <c r="AA313" s="22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19"/>
      <c r="BJ313" s="20"/>
      <c r="BK313" s="20"/>
      <c r="BL313" s="28"/>
      <c r="BM313" s="28"/>
      <c r="BN313" s="29"/>
      <c r="BO313" s="29"/>
      <c r="BP313" s="29"/>
      <c r="BQ313" s="29"/>
      <c r="BR313" s="29"/>
      <c r="BS313" s="29"/>
    </row>
    <row r="314" spans="1:71" ht="13.2">
      <c r="A314" s="19"/>
      <c r="B314" s="20"/>
      <c r="C314" s="20"/>
      <c r="D314" s="21"/>
      <c r="E314" s="20"/>
      <c r="F314" s="20"/>
      <c r="G314" s="22"/>
      <c r="H314" s="22"/>
      <c r="I314" s="20"/>
      <c r="J314" s="20"/>
      <c r="K314" s="20"/>
      <c r="L314" s="22"/>
      <c r="M314" s="22"/>
      <c r="N314" s="22"/>
      <c r="O314" s="22"/>
      <c r="P314" s="22"/>
      <c r="Q314" s="22"/>
      <c r="R314" s="22"/>
      <c r="S314" s="20"/>
      <c r="T314" s="20"/>
      <c r="U314" s="20"/>
      <c r="V314" s="22"/>
      <c r="W314" s="20"/>
      <c r="X314" s="22"/>
      <c r="Y314" s="22"/>
      <c r="Z314" s="22"/>
      <c r="AA314" s="22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19"/>
      <c r="BJ314" s="20"/>
      <c r="BK314" s="20"/>
      <c r="BL314" s="28"/>
      <c r="BM314" s="28"/>
      <c r="BN314" s="29"/>
      <c r="BO314" s="29"/>
      <c r="BP314" s="29"/>
      <c r="BQ314" s="29"/>
      <c r="BR314" s="29"/>
      <c r="BS314" s="29"/>
    </row>
    <row r="315" spans="1:71" ht="13.2">
      <c r="A315" s="19"/>
      <c r="B315" s="20"/>
      <c r="C315" s="20"/>
      <c r="D315" s="21"/>
      <c r="E315" s="20"/>
      <c r="F315" s="20"/>
      <c r="G315" s="22"/>
      <c r="H315" s="22"/>
      <c r="I315" s="20"/>
      <c r="J315" s="20"/>
      <c r="K315" s="20"/>
      <c r="L315" s="22"/>
      <c r="M315" s="22"/>
      <c r="N315" s="22"/>
      <c r="O315" s="22"/>
      <c r="P315" s="22"/>
      <c r="Q315" s="22"/>
      <c r="R315" s="22"/>
      <c r="S315" s="20"/>
      <c r="T315" s="20"/>
      <c r="U315" s="20"/>
      <c r="V315" s="22"/>
      <c r="W315" s="20"/>
      <c r="X315" s="22"/>
      <c r="Y315" s="22"/>
      <c r="Z315" s="22"/>
      <c r="AA315" s="22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19"/>
      <c r="BJ315" s="20"/>
      <c r="BK315" s="20"/>
      <c r="BL315" s="28"/>
      <c r="BM315" s="28"/>
      <c r="BN315" s="29"/>
      <c r="BO315" s="29"/>
      <c r="BP315" s="29"/>
      <c r="BQ315" s="29"/>
      <c r="BR315" s="29"/>
      <c r="BS315" s="29"/>
    </row>
    <row r="316" spans="1:71" ht="13.2">
      <c r="A316" s="19"/>
      <c r="B316" s="20"/>
      <c r="C316" s="20"/>
      <c r="D316" s="21"/>
      <c r="E316" s="20"/>
      <c r="F316" s="20"/>
      <c r="G316" s="22"/>
      <c r="H316" s="22"/>
      <c r="I316" s="20"/>
      <c r="J316" s="20"/>
      <c r="K316" s="20"/>
      <c r="L316" s="22"/>
      <c r="M316" s="22"/>
      <c r="N316" s="22"/>
      <c r="O316" s="22"/>
      <c r="P316" s="22"/>
      <c r="Q316" s="22"/>
      <c r="R316" s="22"/>
      <c r="S316" s="20"/>
      <c r="T316" s="20"/>
      <c r="U316" s="20"/>
      <c r="V316" s="22"/>
      <c r="W316" s="20"/>
      <c r="X316" s="22"/>
      <c r="Y316" s="22"/>
      <c r="Z316" s="22"/>
      <c r="AA316" s="22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19"/>
      <c r="BJ316" s="20"/>
      <c r="BK316" s="20"/>
      <c r="BL316" s="28"/>
      <c r="BM316" s="28"/>
      <c r="BN316" s="29"/>
      <c r="BO316" s="29"/>
      <c r="BP316" s="29"/>
      <c r="BQ316" s="29"/>
      <c r="BR316" s="29"/>
      <c r="BS316" s="29"/>
    </row>
    <row r="317" spans="1:71" ht="13.2">
      <c r="A317" s="19"/>
      <c r="B317" s="20"/>
      <c r="C317" s="20"/>
      <c r="D317" s="21"/>
      <c r="E317" s="20"/>
      <c r="F317" s="20"/>
      <c r="G317" s="22"/>
      <c r="H317" s="22"/>
      <c r="I317" s="20"/>
      <c r="J317" s="20"/>
      <c r="K317" s="20"/>
      <c r="L317" s="22"/>
      <c r="M317" s="22"/>
      <c r="N317" s="22"/>
      <c r="O317" s="22"/>
      <c r="P317" s="22"/>
      <c r="Q317" s="22"/>
      <c r="R317" s="22"/>
      <c r="S317" s="20"/>
      <c r="T317" s="20"/>
      <c r="U317" s="20"/>
      <c r="V317" s="22"/>
      <c r="W317" s="20"/>
      <c r="X317" s="22"/>
      <c r="Y317" s="22"/>
      <c r="Z317" s="22"/>
      <c r="AA317" s="22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19"/>
      <c r="BJ317" s="20"/>
      <c r="BK317" s="20"/>
      <c r="BL317" s="28"/>
      <c r="BM317" s="28"/>
      <c r="BN317" s="29"/>
      <c r="BO317" s="29"/>
      <c r="BP317" s="29"/>
      <c r="BQ317" s="29"/>
      <c r="BR317" s="29"/>
      <c r="BS317" s="29"/>
    </row>
    <row r="318" spans="1:71" ht="13.2">
      <c r="A318" s="19"/>
      <c r="B318" s="20"/>
      <c r="C318" s="20"/>
      <c r="D318" s="21"/>
      <c r="E318" s="20"/>
      <c r="F318" s="20"/>
      <c r="G318" s="22"/>
      <c r="H318" s="22"/>
      <c r="I318" s="20"/>
      <c r="J318" s="20"/>
      <c r="K318" s="20"/>
      <c r="L318" s="22"/>
      <c r="M318" s="22"/>
      <c r="N318" s="22"/>
      <c r="O318" s="22"/>
      <c r="P318" s="22"/>
      <c r="Q318" s="22"/>
      <c r="R318" s="22"/>
      <c r="S318" s="20"/>
      <c r="T318" s="20"/>
      <c r="U318" s="20"/>
      <c r="V318" s="22"/>
      <c r="W318" s="20"/>
      <c r="X318" s="22"/>
      <c r="Y318" s="22"/>
      <c r="Z318" s="22"/>
      <c r="AA318" s="22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19"/>
      <c r="BJ318" s="20"/>
      <c r="BK318" s="20"/>
      <c r="BL318" s="28"/>
      <c r="BM318" s="28"/>
      <c r="BN318" s="29"/>
      <c r="BO318" s="29"/>
      <c r="BP318" s="29"/>
      <c r="BQ318" s="29"/>
      <c r="BR318" s="29"/>
      <c r="BS318" s="29"/>
    </row>
    <row r="319" spans="1:71" ht="13.2">
      <c r="A319" s="19"/>
      <c r="B319" s="20"/>
      <c r="C319" s="20"/>
      <c r="D319" s="21"/>
      <c r="E319" s="20"/>
      <c r="F319" s="20"/>
      <c r="G319" s="22"/>
      <c r="H319" s="22"/>
      <c r="I319" s="20"/>
      <c r="J319" s="20"/>
      <c r="K319" s="20"/>
      <c r="L319" s="22"/>
      <c r="M319" s="22"/>
      <c r="N319" s="22"/>
      <c r="O319" s="22"/>
      <c r="P319" s="22"/>
      <c r="Q319" s="22"/>
      <c r="R319" s="22"/>
      <c r="S319" s="20"/>
      <c r="T319" s="20"/>
      <c r="U319" s="20"/>
      <c r="V319" s="22"/>
      <c r="W319" s="20"/>
      <c r="X319" s="22"/>
      <c r="Y319" s="22"/>
      <c r="Z319" s="22"/>
      <c r="AA319" s="22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19"/>
      <c r="BJ319" s="20"/>
      <c r="BK319" s="20"/>
      <c r="BL319" s="28"/>
      <c r="BM319" s="28"/>
      <c r="BN319" s="29"/>
      <c r="BO319" s="29"/>
      <c r="BP319" s="29"/>
      <c r="BQ319" s="29"/>
      <c r="BR319" s="29"/>
      <c r="BS319" s="29"/>
    </row>
    <row r="320" spans="1:71" ht="13.2">
      <c r="A320" s="19"/>
      <c r="B320" s="20"/>
      <c r="C320" s="20"/>
      <c r="D320" s="21"/>
      <c r="E320" s="20"/>
      <c r="F320" s="20"/>
      <c r="G320" s="22"/>
      <c r="H320" s="22"/>
      <c r="I320" s="20"/>
      <c r="J320" s="20"/>
      <c r="K320" s="20"/>
      <c r="L320" s="22"/>
      <c r="M320" s="22"/>
      <c r="N320" s="22"/>
      <c r="O320" s="22"/>
      <c r="P320" s="22"/>
      <c r="Q320" s="22"/>
      <c r="R320" s="22"/>
      <c r="S320" s="20"/>
      <c r="T320" s="20"/>
      <c r="U320" s="20"/>
      <c r="V320" s="22"/>
      <c r="W320" s="20"/>
      <c r="X320" s="22"/>
      <c r="Y320" s="22"/>
      <c r="Z320" s="22"/>
      <c r="AA320" s="22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19"/>
      <c r="BJ320" s="20"/>
      <c r="BK320" s="20"/>
      <c r="BL320" s="28"/>
      <c r="BM320" s="28"/>
      <c r="BN320" s="29"/>
      <c r="BO320" s="29"/>
      <c r="BP320" s="29"/>
      <c r="BQ320" s="29"/>
      <c r="BR320" s="29"/>
      <c r="BS320" s="29"/>
    </row>
    <row r="321" spans="1:71" ht="13.2">
      <c r="A321" s="19"/>
      <c r="B321" s="20"/>
      <c r="C321" s="20"/>
      <c r="D321" s="21"/>
      <c r="E321" s="20"/>
      <c r="F321" s="20"/>
      <c r="G321" s="22"/>
      <c r="H321" s="22"/>
      <c r="I321" s="20"/>
      <c r="J321" s="20"/>
      <c r="K321" s="20"/>
      <c r="L321" s="22"/>
      <c r="M321" s="22"/>
      <c r="N321" s="22"/>
      <c r="O321" s="22"/>
      <c r="P321" s="22"/>
      <c r="Q321" s="22"/>
      <c r="R321" s="22"/>
      <c r="S321" s="20"/>
      <c r="T321" s="20"/>
      <c r="U321" s="20"/>
      <c r="V321" s="22"/>
      <c r="W321" s="20"/>
      <c r="X321" s="22"/>
      <c r="Y321" s="22"/>
      <c r="Z321" s="22"/>
      <c r="AA321" s="22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19"/>
      <c r="BJ321" s="20"/>
      <c r="BK321" s="20"/>
      <c r="BL321" s="28"/>
      <c r="BM321" s="28"/>
      <c r="BN321" s="29"/>
      <c r="BO321" s="29"/>
      <c r="BP321" s="29"/>
      <c r="BQ321" s="29"/>
      <c r="BR321" s="29"/>
      <c r="BS321" s="29"/>
    </row>
    <row r="322" spans="1:71" ht="13.2">
      <c r="A322" s="19"/>
      <c r="B322" s="20"/>
      <c r="C322" s="20"/>
      <c r="D322" s="21"/>
      <c r="E322" s="20"/>
      <c r="F322" s="20"/>
      <c r="G322" s="22"/>
      <c r="H322" s="22"/>
      <c r="I322" s="20"/>
      <c r="J322" s="20"/>
      <c r="K322" s="20"/>
      <c r="L322" s="22"/>
      <c r="M322" s="22"/>
      <c r="N322" s="22"/>
      <c r="O322" s="22"/>
      <c r="P322" s="22"/>
      <c r="Q322" s="22"/>
      <c r="R322" s="22"/>
      <c r="S322" s="20"/>
      <c r="T322" s="20"/>
      <c r="U322" s="20"/>
      <c r="V322" s="22"/>
      <c r="W322" s="20"/>
      <c r="X322" s="22"/>
      <c r="Y322" s="22"/>
      <c r="Z322" s="22"/>
      <c r="AA322" s="22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19"/>
      <c r="BJ322" s="20"/>
      <c r="BK322" s="20"/>
      <c r="BL322" s="28"/>
      <c r="BM322" s="28"/>
      <c r="BN322" s="29"/>
      <c r="BO322" s="29"/>
      <c r="BP322" s="29"/>
      <c r="BQ322" s="29"/>
      <c r="BR322" s="29"/>
      <c r="BS322" s="29"/>
    </row>
    <row r="323" spans="1:71" ht="13.2">
      <c r="A323" s="19"/>
      <c r="B323" s="20"/>
      <c r="C323" s="20"/>
      <c r="D323" s="21"/>
      <c r="E323" s="20"/>
      <c r="F323" s="20"/>
      <c r="G323" s="22"/>
      <c r="H323" s="22"/>
      <c r="I323" s="20"/>
      <c r="J323" s="20"/>
      <c r="K323" s="20"/>
      <c r="L323" s="22"/>
      <c r="M323" s="22"/>
      <c r="N323" s="22"/>
      <c r="O323" s="22"/>
      <c r="P323" s="22"/>
      <c r="Q323" s="22"/>
      <c r="R323" s="22"/>
      <c r="S323" s="20"/>
      <c r="T323" s="20"/>
      <c r="U323" s="20"/>
      <c r="V323" s="22"/>
      <c r="W323" s="20"/>
      <c r="X323" s="22"/>
      <c r="Y323" s="22"/>
      <c r="Z323" s="22"/>
      <c r="AA323" s="22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19"/>
      <c r="BJ323" s="20"/>
      <c r="BK323" s="20"/>
      <c r="BL323" s="28"/>
      <c r="BM323" s="28"/>
      <c r="BN323" s="29"/>
      <c r="BO323" s="29"/>
      <c r="BP323" s="29"/>
      <c r="BQ323" s="29"/>
      <c r="BR323" s="29"/>
      <c r="BS323" s="29"/>
    </row>
    <row r="324" spans="1:71" ht="13.2">
      <c r="A324" s="19"/>
      <c r="B324" s="20"/>
      <c r="C324" s="20"/>
      <c r="D324" s="21"/>
      <c r="E324" s="20"/>
      <c r="F324" s="20"/>
      <c r="G324" s="22"/>
      <c r="H324" s="22"/>
      <c r="I324" s="20"/>
      <c r="J324" s="20"/>
      <c r="K324" s="20"/>
      <c r="L324" s="22"/>
      <c r="M324" s="22"/>
      <c r="N324" s="22"/>
      <c r="O324" s="22"/>
      <c r="P324" s="22"/>
      <c r="Q324" s="22"/>
      <c r="R324" s="22"/>
      <c r="S324" s="20"/>
      <c r="T324" s="20"/>
      <c r="U324" s="20"/>
      <c r="V324" s="22"/>
      <c r="W324" s="20"/>
      <c r="X324" s="22"/>
      <c r="Y324" s="22"/>
      <c r="Z324" s="22"/>
      <c r="AA324" s="22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19"/>
      <c r="BJ324" s="20"/>
      <c r="BK324" s="20"/>
      <c r="BL324" s="28"/>
      <c r="BM324" s="28"/>
      <c r="BN324" s="29"/>
      <c r="BO324" s="29"/>
      <c r="BP324" s="29"/>
      <c r="BQ324" s="29"/>
      <c r="BR324" s="29"/>
      <c r="BS324" s="29"/>
    </row>
    <row r="325" spans="1:71" ht="13.2">
      <c r="A325" s="19"/>
      <c r="B325" s="20"/>
      <c r="C325" s="20"/>
      <c r="D325" s="21"/>
      <c r="E325" s="20"/>
      <c r="F325" s="20"/>
      <c r="G325" s="22"/>
      <c r="H325" s="22"/>
      <c r="I325" s="20"/>
      <c r="J325" s="20"/>
      <c r="K325" s="20"/>
      <c r="L325" s="22"/>
      <c r="M325" s="22"/>
      <c r="N325" s="22"/>
      <c r="O325" s="22"/>
      <c r="P325" s="22"/>
      <c r="Q325" s="22"/>
      <c r="R325" s="22"/>
      <c r="S325" s="20"/>
      <c r="T325" s="20"/>
      <c r="U325" s="20"/>
      <c r="V325" s="22"/>
      <c r="W325" s="20"/>
      <c r="X325" s="22"/>
      <c r="Y325" s="22"/>
      <c r="Z325" s="22"/>
      <c r="AA325" s="22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19"/>
      <c r="BJ325" s="20"/>
      <c r="BK325" s="20"/>
      <c r="BL325" s="28"/>
      <c r="BM325" s="28"/>
      <c r="BN325" s="29"/>
      <c r="BO325" s="29"/>
      <c r="BP325" s="29"/>
      <c r="BQ325" s="29"/>
      <c r="BR325" s="29"/>
      <c r="BS325" s="29"/>
    </row>
    <row r="326" spans="1:71" ht="13.2">
      <c r="A326" s="19"/>
      <c r="B326" s="20"/>
      <c r="C326" s="20"/>
      <c r="D326" s="21"/>
      <c r="E326" s="20"/>
      <c r="F326" s="20"/>
      <c r="G326" s="22"/>
      <c r="H326" s="22"/>
      <c r="I326" s="20"/>
      <c r="J326" s="20"/>
      <c r="K326" s="20"/>
      <c r="L326" s="22"/>
      <c r="M326" s="22"/>
      <c r="N326" s="22"/>
      <c r="O326" s="22"/>
      <c r="P326" s="22"/>
      <c r="Q326" s="22"/>
      <c r="R326" s="22"/>
      <c r="S326" s="20"/>
      <c r="T326" s="20"/>
      <c r="U326" s="20"/>
      <c r="V326" s="22"/>
      <c r="W326" s="20"/>
      <c r="X326" s="22"/>
      <c r="Y326" s="22"/>
      <c r="Z326" s="22"/>
      <c r="AA326" s="22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19"/>
      <c r="BJ326" s="20"/>
      <c r="BK326" s="20"/>
      <c r="BL326" s="28"/>
      <c r="BM326" s="28"/>
      <c r="BN326" s="29"/>
      <c r="BO326" s="29"/>
      <c r="BP326" s="29"/>
      <c r="BQ326" s="29"/>
      <c r="BR326" s="29"/>
      <c r="BS326" s="29"/>
    </row>
    <row r="327" spans="1:71" ht="13.2">
      <c r="A327" s="19"/>
      <c r="B327" s="20"/>
      <c r="C327" s="20"/>
      <c r="D327" s="21"/>
      <c r="E327" s="20"/>
      <c r="F327" s="20"/>
      <c r="G327" s="22"/>
      <c r="H327" s="22"/>
      <c r="I327" s="20"/>
      <c r="J327" s="20"/>
      <c r="K327" s="20"/>
      <c r="L327" s="22"/>
      <c r="M327" s="22"/>
      <c r="N327" s="22"/>
      <c r="O327" s="22"/>
      <c r="P327" s="22"/>
      <c r="Q327" s="22"/>
      <c r="R327" s="22"/>
      <c r="S327" s="20"/>
      <c r="T327" s="20"/>
      <c r="U327" s="20"/>
      <c r="V327" s="22"/>
      <c r="W327" s="20"/>
      <c r="X327" s="22"/>
      <c r="Y327" s="22"/>
      <c r="Z327" s="22"/>
      <c r="AA327" s="22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19"/>
      <c r="BJ327" s="20"/>
      <c r="BK327" s="20"/>
      <c r="BL327" s="28"/>
      <c r="BM327" s="28"/>
      <c r="BN327" s="29"/>
      <c r="BO327" s="29"/>
      <c r="BP327" s="29"/>
      <c r="BQ327" s="29"/>
      <c r="BR327" s="29"/>
      <c r="BS327" s="29"/>
    </row>
    <row r="328" spans="1:71" ht="13.2">
      <c r="A328" s="19"/>
      <c r="B328" s="20"/>
      <c r="C328" s="20"/>
      <c r="D328" s="21"/>
      <c r="E328" s="20"/>
      <c r="F328" s="20"/>
      <c r="G328" s="22"/>
      <c r="H328" s="22"/>
      <c r="I328" s="20"/>
      <c r="J328" s="20"/>
      <c r="K328" s="20"/>
      <c r="L328" s="22"/>
      <c r="M328" s="22"/>
      <c r="N328" s="22"/>
      <c r="O328" s="22"/>
      <c r="P328" s="22"/>
      <c r="Q328" s="22"/>
      <c r="R328" s="22"/>
      <c r="S328" s="20"/>
      <c r="T328" s="20"/>
      <c r="U328" s="20"/>
      <c r="V328" s="22"/>
      <c r="W328" s="20"/>
      <c r="X328" s="22"/>
      <c r="Y328" s="22"/>
      <c r="Z328" s="22"/>
      <c r="AA328" s="22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19"/>
      <c r="BJ328" s="20"/>
      <c r="BK328" s="20"/>
      <c r="BL328" s="28"/>
      <c r="BM328" s="28"/>
      <c r="BN328" s="29"/>
      <c r="BO328" s="29"/>
      <c r="BP328" s="29"/>
      <c r="BQ328" s="29"/>
      <c r="BR328" s="29"/>
      <c r="BS328" s="29"/>
    </row>
    <row r="329" spans="1:71" ht="13.2">
      <c r="A329" s="19"/>
      <c r="B329" s="20"/>
      <c r="C329" s="20"/>
      <c r="D329" s="21"/>
      <c r="E329" s="20"/>
      <c r="F329" s="20"/>
      <c r="G329" s="22"/>
      <c r="H329" s="22"/>
      <c r="I329" s="20"/>
      <c r="J329" s="20"/>
      <c r="K329" s="20"/>
      <c r="L329" s="22"/>
      <c r="M329" s="22"/>
      <c r="N329" s="22"/>
      <c r="O329" s="22"/>
      <c r="P329" s="22"/>
      <c r="Q329" s="22"/>
      <c r="R329" s="22"/>
      <c r="S329" s="20"/>
      <c r="T329" s="20"/>
      <c r="U329" s="20"/>
      <c r="V329" s="22"/>
      <c r="W329" s="20"/>
      <c r="X329" s="22"/>
      <c r="Y329" s="22"/>
      <c r="Z329" s="22"/>
      <c r="AA329" s="22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19"/>
      <c r="BJ329" s="20"/>
      <c r="BK329" s="20"/>
      <c r="BL329" s="28"/>
      <c r="BM329" s="28"/>
      <c r="BN329" s="29"/>
      <c r="BO329" s="29"/>
      <c r="BP329" s="29"/>
      <c r="BQ329" s="29"/>
      <c r="BR329" s="29"/>
      <c r="BS329" s="29"/>
    </row>
    <row r="330" spans="1:71" ht="13.2">
      <c r="A330" s="19"/>
      <c r="B330" s="20"/>
      <c r="C330" s="20"/>
      <c r="D330" s="21"/>
      <c r="E330" s="20"/>
      <c r="F330" s="20"/>
      <c r="G330" s="22"/>
      <c r="H330" s="22"/>
      <c r="I330" s="20"/>
      <c r="J330" s="20"/>
      <c r="K330" s="20"/>
      <c r="L330" s="22"/>
      <c r="M330" s="22"/>
      <c r="N330" s="22"/>
      <c r="O330" s="22"/>
      <c r="P330" s="22"/>
      <c r="Q330" s="22"/>
      <c r="R330" s="22"/>
      <c r="S330" s="20"/>
      <c r="T330" s="20"/>
      <c r="U330" s="20"/>
      <c r="V330" s="22"/>
      <c r="W330" s="20"/>
      <c r="X330" s="22"/>
      <c r="Y330" s="22"/>
      <c r="Z330" s="22"/>
      <c r="AA330" s="22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19"/>
      <c r="BJ330" s="20"/>
      <c r="BK330" s="20"/>
      <c r="BL330" s="28"/>
      <c r="BM330" s="28"/>
      <c r="BN330" s="29"/>
      <c r="BO330" s="29"/>
      <c r="BP330" s="29"/>
      <c r="BQ330" s="29"/>
      <c r="BR330" s="29"/>
      <c r="BS330" s="29"/>
    </row>
    <row r="331" spans="1:71" ht="13.2">
      <c r="A331" s="19"/>
      <c r="B331" s="20"/>
      <c r="C331" s="20"/>
      <c r="D331" s="21"/>
      <c r="E331" s="20"/>
      <c r="F331" s="20"/>
      <c r="G331" s="22"/>
      <c r="H331" s="22"/>
      <c r="I331" s="20"/>
      <c r="J331" s="20"/>
      <c r="K331" s="20"/>
      <c r="L331" s="22"/>
      <c r="M331" s="22"/>
      <c r="N331" s="22"/>
      <c r="O331" s="22"/>
      <c r="P331" s="22"/>
      <c r="Q331" s="22"/>
      <c r="R331" s="22"/>
      <c r="S331" s="20"/>
      <c r="T331" s="20"/>
      <c r="U331" s="20"/>
      <c r="V331" s="22"/>
      <c r="W331" s="20"/>
      <c r="X331" s="22"/>
      <c r="Y331" s="22"/>
      <c r="Z331" s="22"/>
      <c r="AA331" s="22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19"/>
      <c r="BJ331" s="20"/>
      <c r="BK331" s="20"/>
      <c r="BL331" s="28"/>
      <c r="BM331" s="28"/>
      <c r="BN331" s="29"/>
      <c r="BO331" s="29"/>
      <c r="BP331" s="29"/>
      <c r="BQ331" s="29"/>
      <c r="BR331" s="29"/>
      <c r="BS331" s="29"/>
    </row>
    <row r="332" spans="1:71" ht="13.2">
      <c r="A332" s="19"/>
      <c r="B332" s="20"/>
      <c r="C332" s="20"/>
      <c r="D332" s="21"/>
      <c r="E332" s="20"/>
      <c r="F332" s="20"/>
      <c r="G332" s="22"/>
      <c r="H332" s="22"/>
      <c r="I332" s="20"/>
      <c r="J332" s="20"/>
      <c r="K332" s="20"/>
      <c r="L332" s="22"/>
      <c r="M332" s="22"/>
      <c r="N332" s="22"/>
      <c r="O332" s="22"/>
      <c r="P332" s="22"/>
      <c r="Q332" s="22"/>
      <c r="R332" s="22"/>
      <c r="S332" s="20"/>
      <c r="T332" s="20"/>
      <c r="U332" s="20"/>
      <c r="V332" s="22"/>
      <c r="W332" s="20"/>
      <c r="X332" s="22"/>
      <c r="Y332" s="22"/>
      <c r="Z332" s="22"/>
      <c r="AA332" s="22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19"/>
      <c r="BJ332" s="20"/>
      <c r="BK332" s="20"/>
      <c r="BL332" s="28"/>
      <c r="BM332" s="28"/>
      <c r="BN332" s="29"/>
      <c r="BO332" s="29"/>
      <c r="BP332" s="29"/>
      <c r="BQ332" s="29"/>
      <c r="BR332" s="29"/>
      <c r="BS332" s="29"/>
    </row>
    <row r="333" spans="1:71" ht="13.2">
      <c r="A333" s="19"/>
      <c r="B333" s="20"/>
      <c r="C333" s="20"/>
      <c r="D333" s="21"/>
      <c r="E333" s="20"/>
      <c r="F333" s="20"/>
      <c r="G333" s="22"/>
      <c r="H333" s="22"/>
      <c r="I333" s="20"/>
      <c r="J333" s="20"/>
      <c r="K333" s="20"/>
      <c r="L333" s="22"/>
      <c r="M333" s="22"/>
      <c r="N333" s="22"/>
      <c r="O333" s="22"/>
      <c r="P333" s="22"/>
      <c r="Q333" s="22"/>
      <c r="R333" s="22"/>
      <c r="S333" s="20"/>
      <c r="T333" s="20"/>
      <c r="U333" s="20"/>
      <c r="V333" s="22"/>
      <c r="W333" s="20"/>
      <c r="X333" s="22"/>
      <c r="Y333" s="22"/>
      <c r="Z333" s="22"/>
      <c r="AA333" s="22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19"/>
      <c r="BJ333" s="20"/>
      <c r="BK333" s="20"/>
      <c r="BL333" s="28"/>
      <c r="BM333" s="28"/>
      <c r="BN333" s="29"/>
      <c r="BO333" s="29"/>
      <c r="BP333" s="29"/>
      <c r="BQ333" s="29"/>
      <c r="BR333" s="29"/>
      <c r="BS333" s="29"/>
    </row>
    <row r="334" spans="1:71" ht="13.2">
      <c r="A334" s="19"/>
      <c r="B334" s="20"/>
      <c r="C334" s="20"/>
      <c r="D334" s="21"/>
      <c r="E334" s="20"/>
      <c r="F334" s="20"/>
      <c r="G334" s="22"/>
      <c r="H334" s="22"/>
      <c r="I334" s="20"/>
      <c r="J334" s="20"/>
      <c r="K334" s="20"/>
      <c r="L334" s="22"/>
      <c r="M334" s="22"/>
      <c r="N334" s="22"/>
      <c r="O334" s="22"/>
      <c r="P334" s="22"/>
      <c r="Q334" s="22"/>
      <c r="R334" s="22"/>
      <c r="S334" s="20"/>
      <c r="T334" s="20"/>
      <c r="U334" s="20"/>
      <c r="V334" s="22"/>
      <c r="W334" s="20"/>
      <c r="X334" s="22"/>
      <c r="Y334" s="22"/>
      <c r="Z334" s="22"/>
      <c r="AA334" s="22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19"/>
      <c r="BJ334" s="20"/>
      <c r="BK334" s="20"/>
      <c r="BL334" s="28"/>
      <c r="BM334" s="28"/>
      <c r="BN334" s="29"/>
      <c r="BO334" s="29"/>
      <c r="BP334" s="29"/>
      <c r="BQ334" s="29"/>
      <c r="BR334" s="29"/>
      <c r="BS334" s="29"/>
    </row>
    <row r="335" spans="1:71" ht="13.2">
      <c r="A335" s="19"/>
      <c r="B335" s="20"/>
      <c r="C335" s="20"/>
      <c r="D335" s="21"/>
      <c r="E335" s="20"/>
      <c r="F335" s="20"/>
      <c r="G335" s="22"/>
      <c r="H335" s="22"/>
      <c r="I335" s="20"/>
      <c r="J335" s="20"/>
      <c r="K335" s="20"/>
      <c r="L335" s="22"/>
      <c r="M335" s="22"/>
      <c r="N335" s="22"/>
      <c r="O335" s="22"/>
      <c r="P335" s="22"/>
      <c r="Q335" s="22"/>
      <c r="R335" s="22"/>
      <c r="S335" s="20"/>
      <c r="T335" s="20"/>
      <c r="U335" s="20"/>
      <c r="V335" s="22"/>
      <c r="W335" s="20"/>
      <c r="X335" s="22"/>
      <c r="Y335" s="22"/>
      <c r="Z335" s="22"/>
      <c r="AA335" s="22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19"/>
      <c r="BJ335" s="20"/>
      <c r="BK335" s="20"/>
      <c r="BL335" s="28"/>
      <c r="BM335" s="28"/>
      <c r="BN335" s="29"/>
      <c r="BO335" s="29"/>
      <c r="BP335" s="29"/>
      <c r="BQ335" s="29"/>
      <c r="BR335" s="29"/>
      <c r="BS335" s="29"/>
    </row>
    <row r="336" spans="1:71" ht="13.2">
      <c r="A336" s="19"/>
      <c r="B336" s="20"/>
      <c r="C336" s="20"/>
      <c r="D336" s="21"/>
      <c r="E336" s="20"/>
      <c r="F336" s="20"/>
      <c r="G336" s="22"/>
      <c r="H336" s="22"/>
      <c r="I336" s="20"/>
      <c r="J336" s="20"/>
      <c r="K336" s="20"/>
      <c r="L336" s="22"/>
      <c r="M336" s="22"/>
      <c r="N336" s="22"/>
      <c r="O336" s="22"/>
      <c r="P336" s="22"/>
      <c r="Q336" s="22"/>
      <c r="R336" s="22"/>
      <c r="S336" s="20"/>
      <c r="T336" s="20"/>
      <c r="U336" s="20"/>
      <c r="V336" s="22"/>
      <c r="W336" s="20"/>
      <c r="X336" s="22"/>
      <c r="Y336" s="22"/>
      <c r="Z336" s="22"/>
      <c r="AA336" s="22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19"/>
      <c r="BJ336" s="20"/>
      <c r="BK336" s="20"/>
      <c r="BL336" s="28"/>
      <c r="BM336" s="28"/>
      <c r="BN336" s="29"/>
      <c r="BO336" s="29"/>
      <c r="BP336" s="29"/>
      <c r="BQ336" s="29"/>
      <c r="BR336" s="29"/>
      <c r="BS336" s="29"/>
    </row>
    <row r="337" spans="1:71" ht="13.2">
      <c r="A337" s="19"/>
      <c r="B337" s="20"/>
      <c r="C337" s="20"/>
      <c r="D337" s="21"/>
      <c r="E337" s="20"/>
      <c r="F337" s="20"/>
      <c r="G337" s="22"/>
      <c r="H337" s="22"/>
      <c r="I337" s="20"/>
      <c r="J337" s="20"/>
      <c r="K337" s="20"/>
      <c r="L337" s="22"/>
      <c r="M337" s="22"/>
      <c r="N337" s="22"/>
      <c r="O337" s="22"/>
      <c r="P337" s="22"/>
      <c r="Q337" s="22"/>
      <c r="R337" s="22"/>
      <c r="S337" s="20"/>
      <c r="T337" s="20"/>
      <c r="U337" s="20"/>
      <c r="V337" s="22"/>
      <c r="W337" s="20"/>
      <c r="X337" s="22"/>
      <c r="Y337" s="22"/>
      <c r="Z337" s="22"/>
      <c r="AA337" s="22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19"/>
      <c r="BJ337" s="20"/>
      <c r="BK337" s="20"/>
      <c r="BL337" s="28"/>
      <c r="BM337" s="28"/>
      <c r="BN337" s="29"/>
      <c r="BO337" s="29"/>
      <c r="BP337" s="29"/>
      <c r="BQ337" s="29"/>
      <c r="BR337" s="29"/>
      <c r="BS337" s="29"/>
    </row>
    <row r="338" spans="1:71" ht="13.2">
      <c r="A338" s="19"/>
      <c r="B338" s="20"/>
      <c r="C338" s="20"/>
      <c r="D338" s="21"/>
      <c r="E338" s="20"/>
      <c r="F338" s="20"/>
      <c r="G338" s="22"/>
      <c r="H338" s="22"/>
      <c r="I338" s="20"/>
      <c r="J338" s="20"/>
      <c r="K338" s="20"/>
      <c r="L338" s="22"/>
      <c r="M338" s="22"/>
      <c r="N338" s="22"/>
      <c r="O338" s="22"/>
      <c r="P338" s="22"/>
      <c r="Q338" s="22"/>
      <c r="R338" s="22"/>
      <c r="S338" s="20"/>
      <c r="T338" s="20"/>
      <c r="U338" s="20"/>
      <c r="V338" s="22"/>
      <c r="W338" s="20"/>
      <c r="X338" s="22"/>
      <c r="Y338" s="22"/>
      <c r="Z338" s="22"/>
      <c r="AA338" s="22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19"/>
      <c r="BJ338" s="20"/>
      <c r="BK338" s="20"/>
      <c r="BL338" s="28"/>
      <c r="BM338" s="28"/>
      <c r="BN338" s="29"/>
      <c r="BO338" s="29"/>
      <c r="BP338" s="29"/>
      <c r="BQ338" s="29"/>
      <c r="BR338" s="29"/>
      <c r="BS338" s="29"/>
    </row>
    <row r="339" spans="1:71" ht="13.2">
      <c r="A339" s="19"/>
      <c r="B339" s="20"/>
      <c r="C339" s="20"/>
      <c r="D339" s="21"/>
      <c r="E339" s="20"/>
      <c r="F339" s="20"/>
      <c r="G339" s="22"/>
      <c r="H339" s="22"/>
      <c r="I339" s="20"/>
      <c r="J339" s="20"/>
      <c r="K339" s="20"/>
      <c r="L339" s="22"/>
      <c r="M339" s="22"/>
      <c r="N339" s="22"/>
      <c r="O339" s="22"/>
      <c r="P339" s="22"/>
      <c r="Q339" s="22"/>
      <c r="R339" s="22"/>
      <c r="S339" s="20"/>
      <c r="T339" s="20"/>
      <c r="U339" s="20"/>
      <c r="V339" s="22"/>
      <c r="W339" s="20"/>
      <c r="X339" s="22"/>
      <c r="Y339" s="22"/>
      <c r="Z339" s="22"/>
      <c r="AA339" s="22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19"/>
      <c r="BJ339" s="20"/>
      <c r="BK339" s="20"/>
      <c r="BL339" s="28"/>
      <c r="BM339" s="28"/>
      <c r="BN339" s="29"/>
      <c r="BO339" s="29"/>
      <c r="BP339" s="29"/>
      <c r="BQ339" s="29"/>
      <c r="BR339" s="29"/>
      <c r="BS339" s="29"/>
    </row>
    <row r="340" spans="1:71" ht="13.2">
      <c r="A340" s="19"/>
      <c r="B340" s="20"/>
      <c r="C340" s="20"/>
      <c r="D340" s="21"/>
      <c r="E340" s="20"/>
      <c r="F340" s="20"/>
      <c r="G340" s="22"/>
      <c r="H340" s="22"/>
      <c r="I340" s="20"/>
      <c r="J340" s="20"/>
      <c r="K340" s="20"/>
      <c r="L340" s="22"/>
      <c r="M340" s="22"/>
      <c r="N340" s="22"/>
      <c r="O340" s="22"/>
      <c r="P340" s="22"/>
      <c r="Q340" s="22"/>
      <c r="R340" s="22"/>
      <c r="S340" s="20"/>
      <c r="T340" s="20"/>
      <c r="U340" s="20"/>
      <c r="V340" s="22"/>
      <c r="W340" s="20"/>
      <c r="X340" s="22"/>
      <c r="Y340" s="22"/>
      <c r="Z340" s="22"/>
      <c r="AA340" s="22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19"/>
      <c r="BJ340" s="20"/>
      <c r="BK340" s="20"/>
      <c r="BL340" s="28"/>
      <c r="BM340" s="28"/>
      <c r="BN340" s="29"/>
      <c r="BO340" s="29"/>
      <c r="BP340" s="29"/>
      <c r="BQ340" s="29"/>
      <c r="BR340" s="29"/>
      <c r="BS340" s="29"/>
    </row>
    <row r="341" spans="1:71" ht="13.2">
      <c r="A341" s="19"/>
      <c r="B341" s="20"/>
      <c r="C341" s="20"/>
      <c r="D341" s="21"/>
      <c r="E341" s="20"/>
      <c r="F341" s="20"/>
      <c r="G341" s="22"/>
      <c r="H341" s="22"/>
      <c r="I341" s="20"/>
      <c r="J341" s="20"/>
      <c r="K341" s="20"/>
      <c r="L341" s="22"/>
      <c r="M341" s="22"/>
      <c r="N341" s="22"/>
      <c r="O341" s="22"/>
      <c r="P341" s="22"/>
      <c r="Q341" s="22"/>
      <c r="R341" s="22"/>
      <c r="S341" s="20"/>
      <c r="T341" s="20"/>
      <c r="U341" s="20"/>
      <c r="V341" s="22"/>
      <c r="W341" s="20"/>
      <c r="X341" s="22"/>
      <c r="Y341" s="22"/>
      <c r="Z341" s="22"/>
      <c r="AA341" s="22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19"/>
      <c r="BJ341" s="20"/>
      <c r="BK341" s="20"/>
      <c r="BL341" s="28"/>
      <c r="BM341" s="28"/>
      <c r="BN341" s="29"/>
      <c r="BO341" s="29"/>
      <c r="BP341" s="29"/>
      <c r="BQ341" s="29"/>
      <c r="BR341" s="29"/>
      <c r="BS341" s="29"/>
    </row>
    <row r="342" spans="1:71" ht="13.2">
      <c r="A342" s="19"/>
      <c r="B342" s="20"/>
      <c r="C342" s="20"/>
      <c r="D342" s="21"/>
      <c r="E342" s="20"/>
      <c r="F342" s="20"/>
      <c r="G342" s="22"/>
      <c r="H342" s="22"/>
      <c r="I342" s="20"/>
      <c r="J342" s="20"/>
      <c r="K342" s="20"/>
      <c r="L342" s="22"/>
      <c r="M342" s="22"/>
      <c r="N342" s="22"/>
      <c r="O342" s="22"/>
      <c r="P342" s="22"/>
      <c r="Q342" s="22"/>
      <c r="R342" s="22"/>
      <c r="S342" s="20"/>
      <c r="T342" s="20"/>
      <c r="U342" s="20"/>
      <c r="V342" s="22"/>
      <c r="W342" s="20"/>
      <c r="X342" s="22"/>
      <c r="Y342" s="22"/>
      <c r="Z342" s="22"/>
      <c r="AA342" s="22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19"/>
      <c r="BJ342" s="20"/>
      <c r="BK342" s="20"/>
      <c r="BL342" s="28"/>
      <c r="BM342" s="28"/>
      <c r="BN342" s="29"/>
      <c r="BO342" s="29"/>
      <c r="BP342" s="29"/>
      <c r="BQ342" s="29"/>
      <c r="BR342" s="29"/>
      <c r="BS342" s="29"/>
    </row>
    <row r="343" spans="1:71" ht="13.2">
      <c r="A343" s="19"/>
      <c r="B343" s="20"/>
      <c r="C343" s="20"/>
      <c r="D343" s="21"/>
      <c r="E343" s="20"/>
      <c r="F343" s="20"/>
      <c r="G343" s="22"/>
      <c r="H343" s="22"/>
      <c r="I343" s="20"/>
      <c r="J343" s="20"/>
      <c r="K343" s="20"/>
      <c r="L343" s="22"/>
      <c r="M343" s="22"/>
      <c r="N343" s="22"/>
      <c r="O343" s="22"/>
      <c r="P343" s="22"/>
      <c r="Q343" s="22"/>
      <c r="R343" s="22"/>
      <c r="S343" s="20"/>
      <c r="T343" s="20"/>
      <c r="U343" s="20"/>
      <c r="V343" s="22"/>
      <c r="W343" s="20"/>
      <c r="X343" s="22"/>
      <c r="Y343" s="22"/>
      <c r="Z343" s="22"/>
      <c r="AA343" s="22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19"/>
      <c r="BJ343" s="20"/>
      <c r="BK343" s="20"/>
      <c r="BL343" s="28"/>
      <c r="BM343" s="28"/>
      <c r="BN343" s="29"/>
      <c r="BO343" s="29"/>
      <c r="BP343" s="29"/>
      <c r="BQ343" s="29"/>
      <c r="BR343" s="29"/>
      <c r="BS343" s="29"/>
    </row>
    <row r="344" spans="1:71" ht="13.2">
      <c r="A344" s="19"/>
      <c r="B344" s="20"/>
      <c r="C344" s="20"/>
      <c r="D344" s="21"/>
      <c r="E344" s="20"/>
      <c r="F344" s="20"/>
      <c r="G344" s="22"/>
      <c r="H344" s="22"/>
      <c r="I344" s="20"/>
      <c r="J344" s="20"/>
      <c r="K344" s="20"/>
      <c r="L344" s="22"/>
      <c r="M344" s="22"/>
      <c r="N344" s="22"/>
      <c r="O344" s="22"/>
      <c r="P344" s="22"/>
      <c r="Q344" s="22"/>
      <c r="R344" s="22"/>
      <c r="S344" s="20"/>
      <c r="T344" s="20"/>
      <c r="U344" s="20"/>
      <c r="V344" s="22"/>
      <c r="W344" s="20"/>
      <c r="X344" s="22"/>
      <c r="Y344" s="22"/>
      <c r="Z344" s="22"/>
      <c r="AA344" s="22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19"/>
      <c r="BJ344" s="20"/>
      <c r="BK344" s="20"/>
      <c r="BL344" s="28"/>
      <c r="BM344" s="28"/>
      <c r="BN344" s="29"/>
      <c r="BO344" s="29"/>
      <c r="BP344" s="29"/>
      <c r="BQ344" s="29"/>
      <c r="BR344" s="29"/>
      <c r="BS344" s="29"/>
    </row>
    <row r="345" spans="1:71" ht="13.2">
      <c r="A345" s="19"/>
      <c r="B345" s="20"/>
      <c r="C345" s="20"/>
      <c r="D345" s="21"/>
      <c r="E345" s="20"/>
      <c r="F345" s="20"/>
      <c r="G345" s="22"/>
      <c r="H345" s="22"/>
      <c r="I345" s="20"/>
      <c r="J345" s="20"/>
      <c r="K345" s="20"/>
      <c r="L345" s="22"/>
      <c r="M345" s="22"/>
      <c r="N345" s="22"/>
      <c r="O345" s="22"/>
      <c r="P345" s="22"/>
      <c r="Q345" s="22"/>
      <c r="R345" s="22"/>
      <c r="S345" s="20"/>
      <c r="T345" s="20"/>
      <c r="U345" s="20"/>
      <c r="V345" s="22"/>
      <c r="W345" s="20"/>
      <c r="X345" s="22"/>
      <c r="Y345" s="22"/>
      <c r="Z345" s="22"/>
      <c r="AA345" s="22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19"/>
      <c r="BJ345" s="20"/>
      <c r="BK345" s="20"/>
      <c r="BL345" s="28"/>
      <c r="BM345" s="28"/>
      <c r="BN345" s="29"/>
      <c r="BO345" s="29"/>
      <c r="BP345" s="29"/>
      <c r="BQ345" s="29"/>
      <c r="BR345" s="29"/>
      <c r="BS345" s="29"/>
    </row>
    <row r="346" spans="1:71" ht="13.2">
      <c r="A346" s="19"/>
      <c r="B346" s="20"/>
      <c r="C346" s="20"/>
      <c r="D346" s="21"/>
      <c r="E346" s="20"/>
      <c r="F346" s="20"/>
      <c r="G346" s="22"/>
      <c r="H346" s="22"/>
      <c r="I346" s="20"/>
      <c r="J346" s="20"/>
      <c r="K346" s="20"/>
      <c r="L346" s="22"/>
      <c r="M346" s="22"/>
      <c r="N346" s="22"/>
      <c r="O346" s="22"/>
      <c r="P346" s="22"/>
      <c r="Q346" s="22"/>
      <c r="R346" s="22"/>
      <c r="S346" s="20"/>
      <c r="T346" s="20"/>
      <c r="U346" s="20"/>
      <c r="V346" s="22"/>
      <c r="W346" s="20"/>
      <c r="X346" s="22"/>
      <c r="Y346" s="22"/>
      <c r="Z346" s="22"/>
      <c r="AA346" s="22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19"/>
      <c r="BJ346" s="20"/>
      <c r="BK346" s="20"/>
      <c r="BL346" s="28"/>
      <c r="BM346" s="28"/>
      <c r="BN346" s="29"/>
      <c r="BO346" s="29"/>
      <c r="BP346" s="29"/>
      <c r="BQ346" s="29"/>
      <c r="BR346" s="29"/>
      <c r="BS346" s="29"/>
    </row>
    <row r="347" spans="1:71" ht="13.2">
      <c r="A347" s="19"/>
      <c r="B347" s="20"/>
      <c r="C347" s="20"/>
      <c r="D347" s="21"/>
      <c r="E347" s="20"/>
      <c r="F347" s="20"/>
      <c r="G347" s="22"/>
      <c r="H347" s="22"/>
      <c r="I347" s="20"/>
      <c r="J347" s="20"/>
      <c r="K347" s="20"/>
      <c r="L347" s="22"/>
      <c r="M347" s="22"/>
      <c r="N347" s="22"/>
      <c r="O347" s="22"/>
      <c r="P347" s="22"/>
      <c r="Q347" s="22"/>
      <c r="R347" s="22"/>
      <c r="S347" s="20"/>
      <c r="T347" s="20"/>
      <c r="U347" s="20"/>
      <c r="V347" s="22"/>
      <c r="W347" s="20"/>
      <c r="X347" s="22"/>
      <c r="Y347" s="22"/>
      <c r="Z347" s="22"/>
      <c r="AA347" s="22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19"/>
      <c r="BJ347" s="20"/>
      <c r="BK347" s="20"/>
      <c r="BL347" s="28"/>
      <c r="BM347" s="28"/>
      <c r="BN347" s="29"/>
      <c r="BO347" s="29"/>
      <c r="BP347" s="29"/>
      <c r="BQ347" s="29"/>
      <c r="BR347" s="29"/>
      <c r="BS347" s="29"/>
    </row>
    <row r="348" spans="1:71" ht="13.2">
      <c r="A348" s="19"/>
      <c r="B348" s="20"/>
      <c r="C348" s="20"/>
      <c r="D348" s="21"/>
      <c r="E348" s="20"/>
      <c r="F348" s="20"/>
      <c r="G348" s="22"/>
      <c r="H348" s="22"/>
      <c r="I348" s="20"/>
      <c r="J348" s="20"/>
      <c r="K348" s="20"/>
      <c r="L348" s="22"/>
      <c r="M348" s="22"/>
      <c r="N348" s="22"/>
      <c r="O348" s="22"/>
      <c r="P348" s="22"/>
      <c r="Q348" s="22"/>
      <c r="R348" s="22"/>
      <c r="S348" s="20"/>
      <c r="T348" s="20"/>
      <c r="U348" s="20"/>
      <c r="V348" s="22"/>
      <c r="W348" s="20"/>
      <c r="X348" s="22"/>
      <c r="Y348" s="22"/>
      <c r="Z348" s="22"/>
      <c r="AA348" s="22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19"/>
      <c r="BJ348" s="20"/>
      <c r="BK348" s="20"/>
      <c r="BL348" s="28"/>
      <c r="BM348" s="28"/>
      <c r="BN348" s="29"/>
      <c r="BO348" s="29"/>
      <c r="BP348" s="29"/>
      <c r="BQ348" s="29"/>
      <c r="BR348" s="29"/>
      <c r="BS348" s="29"/>
    </row>
    <row r="349" spans="1:71" ht="13.2">
      <c r="A349" s="19"/>
      <c r="B349" s="20"/>
      <c r="C349" s="20"/>
      <c r="D349" s="21"/>
      <c r="E349" s="20"/>
      <c r="F349" s="20"/>
      <c r="G349" s="22"/>
      <c r="H349" s="22"/>
      <c r="I349" s="20"/>
      <c r="J349" s="20"/>
      <c r="K349" s="20"/>
      <c r="L349" s="22"/>
      <c r="M349" s="22"/>
      <c r="N349" s="22"/>
      <c r="O349" s="22"/>
      <c r="P349" s="22"/>
      <c r="Q349" s="22"/>
      <c r="R349" s="22"/>
      <c r="S349" s="20"/>
      <c r="T349" s="20"/>
      <c r="U349" s="20"/>
      <c r="V349" s="22"/>
      <c r="W349" s="20"/>
      <c r="X349" s="22"/>
      <c r="Y349" s="22"/>
      <c r="Z349" s="22"/>
      <c r="AA349" s="22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19"/>
      <c r="BJ349" s="20"/>
      <c r="BK349" s="20"/>
      <c r="BL349" s="28"/>
      <c r="BM349" s="28"/>
      <c r="BN349" s="29"/>
      <c r="BO349" s="29"/>
      <c r="BP349" s="29"/>
      <c r="BQ349" s="29"/>
      <c r="BR349" s="29"/>
      <c r="BS349" s="29"/>
    </row>
    <row r="350" spans="1:71" ht="13.2">
      <c r="A350" s="19"/>
      <c r="B350" s="20"/>
      <c r="C350" s="20"/>
      <c r="D350" s="21"/>
      <c r="E350" s="20"/>
      <c r="F350" s="20"/>
      <c r="G350" s="22"/>
      <c r="H350" s="22"/>
      <c r="I350" s="20"/>
      <c r="J350" s="20"/>
      <c r="K350" s="20"/>
      <c r="L350" s="22"/>
      <c r="M350" s="22"/>
      <c r="N350" s="22"/>
      <c r="O350" s="22"/>
      <c r="P350" s="22"/>
      <c r="Q350" s="22"/>
      <c r="R350" s="22"/>
      <c r="S350" s="20"/>
      <c r="T350" s="20"/>
      <c r="U350" s="20"/>
      <c r="V350" s="22"/>
      <c r="W350" s="20"/>
      <c r="X350" s="22"/>
      <c r="Y350" s="22"/>
      <c r="Z350" s="22"/>
      <c r="AA350" s="22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19"/>
      <c r="BJ350" s="20"/>
      <c r="BK350" s="20"/>
      <c r="BL350" s="28"/>
      <c r="BM350" s="28"/>
      <c r="BN350" s="29"/>
      <c r="BO350" s="29"/>
      <c r="BP350" s="29"/>
      <c r="BQ350" s="29"/>
      <c r="BR350" s="29"/>
      <c r="BS350" s="29"/>
    </row>
    <row r="351" spans="1:71" ht="13.2">
      <c r="A351" s="19"/>
      <c r="B351" s="20"/>
      <c r="C351" s="20"/>
      <c r="D351" s="21"/>
      <c r="E351" s="20"/>
      <c r="F351" s="20"/>
      <c r="G351" s="22"/>
      <c r="H351" s="22"/>
      <c r="I351" s="20"/>
      <c r="J351" s="20"/>
      <c r="K351" s="20"/>
      <c r="L351" s="22"/>
      <c r="M351" s="22"/>
      <c r="N351" s="22"/>
      <c r="O351" s="22"/>
      <c r="P351" s="22"/>
      <c r="Q351" s="22"/>
      <c r="R351" s="22"/>
      <c r="S351" s="20"/>
      <c r="T351" s="20"/>
      <c r="U351" s="20"/>
      <c r="V351" s="22"/>
      <c r="W351" s="20"/>
      <c r="X351" s="22"/>
      <c r="Y351" s="22"/>
      <c r="Z351" s="22"/>
      <c r="AA351" s="22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19"/>
      <c r="BJ351" s="20"/>
      <c r="BK351" s="20"/>
      <c r="BL351" s="28"/>
      <c r="BM351" s="28"/>
      <c r="BN351" s="29"/>
      <c r="BO351" s="29"/>
      <c r="BP351" s="29"/>
      <c r="BQ351" s="29"/>
      <c r="BR351" s="29"/>
      <c r="BS351" s="29"/>
    </row>
    <row r="352" spans="1:71" ht="13.2">
      <c r="A352" s="19"/>
      <c r="B352" s="20"/>
      <c r="C352" s="20"/>
      <c r="D352" s="21"/>
      <c r="E352" s="20"/>
      <c r="F352" s="20"/>
      <c r="G352" s="22"/>
      <c r="H352" s="22"/>
      <c r="I352" s="20"/>
      <c r="J352" s="20"/>
      <c r="K352" s="20"/>
      <c r="L352" s="22"/>
      <c r="M352" s="22"/>
      <c r="N352" s="22"/>
      <c r="O352" s="22"/>
      <c r="P352" s="22"/>
      <c r="Q352" s="22"/>
      <c r="R352" s="22"/>
      <c r="S352" s="20"/>
      <c r="T352" s="20"/>
      <c r="U352" s="20"/>
      <c r="V352" s="22"/>
      <c r="W352" s="20"/>
      <c r="X352" s="22"/>
      <c r="Y352" s="22"/>
      <c r="Z352" s="22"/>
      <c r="AA352" s="22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19"/>
      <c r="BJ352" s="20"/>
      <c r="BK352" s="20"/>
      <c r="BL352" s="28"/>
      <c r="BM352" s="28"/>
      <c r="BN352" s="29"/>
      <c r="BO352" s="29"/>
      <c r="BP352" s="29"/>
      <c r="BQ352" s="29"/>
      <c r="BR352" s="29"/>
      <c r="BS352" s="29"/>
    </row>
    <row r="353" spans="1:71" ht="13.2">
      <c r="A353" s="19"/>
      <c r="B353" s="20"/>
      <c r="C353" s="20"/>
      <c r="D353" s="21"/>
      <c r="E353" s="20"/>
      <c r="F353" s="20"/>
      <c r="G353" s="22"/>
      <c r="H353" s="22"/>
      <c r="I353" s="20"/>
      <c r="J353" s="20"/>
      <c r="K353" s="20"/>
      <c r="L353" s="22"/>
      <c r="M353" s="22"/>
      <c r="N353" s="22"/>
      <c r="O353" s="22"/>
      <c r="P353" s="22"/>
      <c r="Q353" s="22"/>
      <c r="R353" s="22"/>
      <c r="S353" s="20"/>
      <c r="T353" s="20"/>
      <c r="U353" s="20"/>
      <c r="V353" s="22"/>
      <c r="W353" s="20"/>
      <c r="X353" s="22"/>
      <c r="Y353" s="22"/>
      <c r="Z353" s="22"/>
      <c r="AA353" s="22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19"/>
      <c r="BJ353" s="20"/>
      <c r="BK353" s="20"/>
      <c r="BL353" s="28"/>
      <c r="BM353" s="28"/>
      <c r="BN353" s="29"/>
      <c r="BO353" s="29"/>
      <c r="BP353" s="29"/>
      <c r="BQ353" s="29"/>
      <c r="BR353" s="29"/>
      <c r="BS353" s="29"/>
    </row>
    <row r="354" spans="1:71" ht="13.2">
      <c r="A354" s="19"/>
      <c r="B354" s="20"/>
      <c r="C354" s="20"/>
      <c r="D354" s="21"/>
      <c r="E354" s="20"/>
      <c r="F354" s="20"/>
      <c r="G354" s="22"/>
      <c r="H354" s="22"/>
      <c r="I354" s="20"/>
      <c r="J354" s="20"/>
      <c r="K354" s="20"/>
      <c r="L354" s="22"/>
      <c r="M354" s="22"/>
      <c r="N354" s="22"/>
      <c r="O354" s="22"/>
      <c r="P354" s="22"/>
      <c r="Q354" s="22"/>
      <c r="R354" s="22"/>
      <c r="S354" s="20"/>
      <c r="T354" s="20"/>
      <c r="U354" s="20"/>
      <c r="V354" s="22"/>
      <c r="W354" s="20"/>
      <c r="X354" s="22"/>
      <c r="Y354" s="22"/>
      <c r="Z354" s="22"/>
      <c r="AA354" s="22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19"/>
      <c r="BJ354" s="20"/>
      <c r="BK354" s="20"/>
      <c r="BL354" s="28"/>
      <c r="BM354" s="28"/>
      <c r="BN354" s="29"/>
      <c r="BO354" s="29"/>
      <c r="BP354" s="29"/>
      <c r="BQ354" s="29"/>
      <c r="BR354" s="29"/>
      <c r="BS354" s="29"/>
    </row>
    <row r="355" spans="1:71" ht="13.2">
      <c r="A355" s="19"/>
      <c r="B355" s="20"/>
      <c r="C355" s="20"/>
      <c r="D355" s="21"/>
      <c r="E355" s="20"/>
      <c r="F355" s="20"/>
      <c r="G355" s="22"/>
      <c r="H355" s="22"/>
      <c r="I355" s="20"/>
      <c r="J355" s="20"/>
      <c r="K355" s="20"/>
      <c r="L355" s="22"/>
      <c r="M355" s="22"/>
      <c r="N355" s="22"/>
      <c r="O355" s="22"/>
      <c r="P355" s="22"/>
      <c r="Q355" s="22"/>
      <c r="R355" s="22"/>
      <c r="S355" s="20"/>
      <c r="T355" s="20"/>
      <c r="U355" s="20"/>
      <c r="V355" s="22"/>
      <c r="W355" s="20"/>
      <c r="X355" s="22"/>
      <c r="Y355" s="22"/>
      <c r="Z355" s="22"/>
      <c r="AA355" s="22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19"/>
      <c r="BJ355" s="20"/>
      <c r="BK355" s="20"/>
      <c r="BL355" s="28"/>
      <c r="BM355" s="28"/>
      <c r="BN355" s="29"/>
      <c r="BO355" s="29"/>
      <c r="BP355" s="29"/>
      <c r="BQ355" s="29"/>
      <c r="BR355" s="29"/>
      <c r="BS355" s="29"/>
    </row>
    <row r="356" spans="1:71" ht="13.2">
      <c r="A356" s="19"/>
      <c r="B356" s="20"/>
      <c r="C356" s="20"/>
      <c r="D356" s="21"/>
      <c r="E356" s="20"/>
      <c r="F356" s="20"/>
      <c r="G356" s="22"/>
      <c r="H356" s="22"/>
      <c r="I356" s="20"/>
      <c r="J356" s="20"/>
      <c r="K356" s="20"/>
      <c r="L356" s="22"/>
      <c r="M356" s="22"/>
      <c r="N356" s="22"/>
      <c r="O356" s="22"/>
      <c r="P356" s="22"/>
      <c r="Q356" s="22"/>
      <c r="R356" s="22"/>
      <c r="S356" s="20"/>
      <c r="T356" s="20"/>
      <c r="U356" s="20"/>
      <c r="V356" s="22"/>
      <c r="W356" s="20"/>
      <c r="X356" s="22"/>
      <c r="Y356" s="22"/>
      <c r="Z356" s="22"/>
      <c r="AA356" s="22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19"/>
      <c r="BJ356" s="20"/>
      <c r="BK356" s="20"/>
      <c r="BL356" s="28"/>
      <c r="BM356" s="28"/>
      <c r="BN356" s="29"/>
      <c r="BO356" s="29"/>
      <c r="BP356" s="29"/>
      <c r="BQ356" s="29"/>
      <c r="BR356" s="29"/>
      <c r="BS356" s="29"/>
    </row>
    <row r="357" spans="1:71" ht="13.2">
      <c r="A357" s="19"/>
      <c r="B357" s="20"/>
      <c r="C357" s="20"/>
      <c r="D357" s="21"/>
      <c r="E357" s="20"/>
      <c r="F357" s="20"/>
      <c r="G357" s="22"/>
      <c r="H357" s="22"/>
      <c r="I357" s="20"/>
      <c r="J357" s="20"/>
      <c r="K357" s="20"/>
      <c r="L357" s="22"/>
      <c r="M357" s="22"/>
      <c r="N357" s="22"/>
      <c r="O357" s="22"/>
      <c r="P357" s="22"/>
      <c r="Q357" s="22"/>
      <c r="R357" s="22"/>
      <c r="S357" s="20"/>
      <c r="T357" s="20"/>
      <c r="U357" s="20"/>
      <c r="V357" s="22"/>
      <c r="W357" s="20"/>
      <c r="X357" s="22"/>
      <c r="Y357" s="22"/>
      <c r="Z357" s="22"/>
      <c r="AA357" s="22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19"/>
      <c r="BJ357" s="20"/>
      <c r="BK357" s="20"/>
      <c r="BL357" s="28"/>
      <c r="BM357" s="28"/>
      <c r="BN357" s="29"/>
      <c r="BO357" s="29"/>
      <c r="BP357" s="29"/>
      <c r="BQ357" s="29"/>
      <c r="BR357" s="29"/>
      <c r="BS357" s="29"/>
    </row>
    <row r="358" spans="1:71" ht="13.2">
      <c r="A358" s="19"/>
      <c r="B358" s="20"/>
      <c r="C358" s="20"/>
      <c r="D358" s="21"/>
      <c r="E358" s="20"/>
      <c r="F358" s="20"/>
      <c r="G358" s="22"/>
      <c r="H358" s="22"/>
      <c r="I358" s="20"/>
      <c r="J358" s="20"/>
      <c r="K358" s="20"/>
      <c r="L358" s="22"/>
      <c r="M358" s="22"/>
      <c r="N358" s="22"/>
      <c r="O358" s="22"/>
      <c r="P358" s="22"/>
      <c r="Q358" s="22"/>
      <c r="R358" s="22"/>
      <c r="S358" s="20"/>
      <c r="T358" s="20"/>
      <c r="U358" s="20"/>
      <c r="V358" s="22"/>
      <c r="W358" s="20"/>
      <c r="X358" s="22"/>
      <c r="Y358" s="22"/>
      <c r="Z358" s="22"/>
      <c r="AA358" s="22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19"/>
      <c r="BJ358" s="20"/>
      <c r="BK358" s="20"/>
      <c r="BL358" s="28"/>
      <c r="BM358" s="28"/>
      <c r="BN358" s="29"/>
      <c r="BO358" s="29"/>
      <c r="BP358" s="29"/>
      <c r="BQ358" s="29"/>
      <c r="BR358" s="29"/>
      <c r="BS358" s="29"/>
    </row>
    <row r="359" spans="1:71" ht="13.2">
      <c r="A359" s="19"/>
      <c r="B359" s="20"/>
      <c r="C359" s="20"/>
      <c r="D359" s="21"/>
      <c r="E359" s="20"/>
      <c r="F359" s="20"/>
      <c r="G359" s="22"/>
      <c r="H359" s="22"/>
      <c r="I359" s="20"/>
      <c r="J359" s="20"/>
      <c r="K359" s="20"/>
      <c r="L359" s="22"/>
      <c r="M359" s="22"/>
      <c r="N359" s="22"/>
      <c r="O359" s="22"/>
      <c r="P359" s="22"/>
      <c r="Q359" s="22"/>
      <c r="R359" s="22"/>
      <c r="S359" s="20"/>
      <c r="T359" s="20"/>
      <c r="U359" s="20"/>
      <c r="V359" s="22"/>
      <c r="W359" s="20"/>
      <c r="X359" s="22"/>
      <c r="Y359" s="22"/>
      <c r="Z359" s="22"/>
      <c r="AA359" s="22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19"/>
      <c r="BJ359" s="20"/>
      <c r="BK359" s="20"/>
      <c r="BL359" s="28"/>
      <c r="BM359" s="28"/>
      <c r="BN359" s="29"/>
      <c r="BO359" s="29"/>
      <c r="BP359" s="29"/>
      <c r="BQ359" s="29"/>
      <c r="BR359" s="29"/>
      <c r="BS359" s="29"/>
    </row>
    <row r="360" spans="1:71" ht="13.2">
      <c r="A360" s="19"/>
      <c r="B360" s="20"/>
      <c r="C360" s="20"/>
      <c r="D360" s="21"/>
      <c r="E360" s="20"/>
      <c r="F360" s="20"/>
      <c r="G360" s="22"/>
      <c r="H360" s="22"/>
      <c r="I360" s="20"/>
      <c r="J360" s="20"/>
      <c r="K360" s="20"/>
      <c r="L360" s="22"/>
      <c r="M360" s="22"/>
      <c r="N360" s="22"/>
      <c r="O360" s="22"/>
      <c r="P360" s="22"/>
      <c r="Q360" s="22"/>
      <c r="R360" s="22"/>
      <c r="S360" s="20"/>
      <c r="T360" s="20"/>
      <c r="U360" s="20"/>
      <c r="V360" s="22"/>
      <c r="W360" s="20"/>
      <c r="X360" s="22"/>
      <c r="Y360" s="22"/>
      <c r="Z360" s="22"/>
      <c r="AA360" s="22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19"/>
      <c r="BJ360" s="20"/>
      <c r="BK360" s="20"/>
      <c r="BL360" s="28"/>
      <c r="BM360" s="28"/>
      <c r="BN360" s="29"/>
      <c r="BO360" s="29"/>
      <c r="BP360" s="29"/>
      <c r="BQ360" s="29"/>
      <c r="BR360" s="29"/>
      <c r="BS360" s="29"/>
    </row>
    <row r="361" spans="1:71" ht="13.2">
      <c r="A361" s="19"/>
      <c r="B361" s="20"/>
      <c r="C361" s="20"/>
      <c r="D361" s="21"/>
      <c r="E361" s="20"/>
      <c r="F361" s="20"/>
      <c r="G361" s="22"/>
      <c r="H361" s="22"/>
      <c r="I361" s="20"/>
      <c r="J361" s="20"/>
      <c r="K361" s="20"/>
      <c r="L361" s="22"/>
      <c r="M361" s="22"/>
      <c r="N361" s="22"/>
      <c r="O361" s="22"/>
      <c r="P361" s="22"/>
      <c r="Q361" s="22"/>
      <c r="R361" s="22"/>
      <c r="S361" s="20"/>
      <c r="T361" s="20"/>
      <c r="U361" s="20"/>
      <c r="V361" s="22"/>
      <c r="W361" s="20"/>
      <c r="X361" s="22"/>
      <c r="Y361" s="22"/>
      <c r="Z361" s="22"/>
      <c r="AA361" s="22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19"/>
      <c r="BJ361" s="20"/>
      <c r="BK361" s="20"/>
      <c r="BL361" s="28"/>
      <c r="BM361" s="28"/>
      <c r="BN361" s="29"/>
      <c r="BO361" s="29"/>
      <c r="BP361" s="29"/>
      <c r="BQ361" s="29"/>
      <c r="BR361" s="29"/>
      <c r="BS361" s="29"/>
    </row>
    <row r="362" spans="1:71" ht="13.2">
      <c r="A362" s="19"/>
      <c r="B362" s="20"/>
      <c r="C362" s="20"/>
      <c r="D362" s="21"/>
      <c r="E362" s="20"/>
      <c r="F362" s="20"/>
      <c r="G362" s="22"/>
      <c r="H362" s="22"/>
      <c r="I362" s="20"/>
      <c r="J362" s="20"/>
      <c r="K362" s="20"/>
      <c r="L362" s="22"/>
      <c r="M362" s="22"/>
      <c r="N362" s="22"/>
      <c r="O362" s="22"/>
      <c r="P362" s="22"/>
      <c r="Q362" s="22"/>
      <c r="R362" s="22"/>
      <c r="S362" s="20"/>
      <c r="T362" s="20"/>
      <c r="U362" s="20"/>
      <c r="V362" s="22"/>
      <c r="W362" s="20"/>
      <c r="X362" s="22"/>
      <c r="Y362" s="22"/>
      <c r="Z362" s="22"/>
      <c r="AA362" s="22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19"/>
      <c r="BJ362" s="20"/>
      <c r="BK362" s="20"/>
      <c r="BL362" s="28"/>
      <c r="BM362" s="28"/>
      <c r="BN362" s="29"/>
      <c r="BO362" s="29"/>
      <c r="BP362" s="29"/>
      <c r="BQ362" s="29"/>
      <c r="BR362" s="29"/>
      <c r="BS362" s="29"/>
    </row>
    <row r="363" spans="1:71" ht="13.2">
      <c r="A363" s="19"/>
      <c r="B363" s="20"/>
      <c r="C363" s="20"/>
      <c r="D363" s="21"/>
      <c r="E363" s="20"/>
      <c r="F363" s="20"/>
      <c r="G363" s="22"/>
      <c r="H363" s="22"/>
      <c r="I363" s="20"/>
      <c r="J363" s="20"/>
      <c r="K363" s="20"/>
      <c r="L363" s="22"/>
      <c r="M363" s="22"/>
      <c r="N363" s="22"/>
      <c r="O363" s="22"/>
      <c r="P363" s="22"/>
      <c r="Q363" s="22"/>
      <c r="R363" s="22"/>
      <c r="S363" s="20"/>
      <c r="T363" s="20"/>
      <c r="U363" s="20"/>
      <c r="V363" s="22"/>
      <c r="W363" s="20"/>
      <c r="X363" s="22"/>
      <c r="Y363" s="22"/>
      <c r="Z363" s="22"/>
      <c r="AA363" s="22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19"/>
      <c r="BJ363" s="20"/>
      <c r="BK363" s="20"/>
      <c r="BL363" s="28"/>
      <c r="BM363" s="28"/>
      <c r="BN363" s="29"/>
      <c r="BO363" s="29"/>
      <c r="BP363" s="29"/>
      <c r="BQ363" s="29"/>
      <c r="BR363" s="29"/>
      <c r="BS363" s="29"/>
    </row>
  </sheetData>
  <mergeCells count="18">
    <mergeCell ref="A1:F2"/>
    <mergeCell ref="AI1:AR2"/>
    <mergeCell ref="AS1:BD2"/>
    <mergeCell ref="BE1:BH2"/>
    <mergeCell ref="BI1:BK2"/>
    <mergeCell ref="BT1:BY1"/>
    <mergeCell ref="G2:L2"/>
    <mergeCell ref="M2:P2"/>
    <mergeCell ref="Q2:V2"/>
    <mergeCell ref="X2:AH2"/>
    <mergeCell ref="BW2:BY2"/>
    <mergeCell ref="BO1:BO2"/>
    <mergeCell ref="BP1:BP2"/>
    <mergeCell ref="BQ1:BQ2"/>
    <mergeCell ref="BR1:BR2"/>
    <mergeCell ref="BS1:BS2"/>
    <mergeCell ref="G1:AH1"/>
    <mergeCell ref="BL1:BN2"/>
  </mergeCells>
  <dataValidations count="1">
    <dataValidation type="list" allowBlank="1" showInputMessage="1" showErrorMessage="1" sqref="E4:E5" xr:uid="{2840A0E8-1D80-4C36-9E5A-37EBA5ECD401}">
      <formula1>"Akyrian,Auxo,Avanti,Bench,Fora Travels,Indihood,IPS,IQHive,LevelBlue,Web Development,Opus Clip,Training"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vivabrothers9703@outlook.com</cp:lastModifiedBy>
  <dcterms:created xsi:type="dcterms:W3CDTF">2024-09-07T06:44:06Z</dcterms:created>
  <dcterms:modified xsi:type="dcterms:W3CDTF">2025-02-27T16:04:37Z</dcterms:modified>
</cp:coreProperties>
</file>